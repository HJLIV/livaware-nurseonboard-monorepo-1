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livaware-my.sharepoint.com/personal/hjutla_livaware_co_uk/Documents/03 - HR &amp; Staff/Scheduling/"/>
    </mc:Choice>
  </mc:AlternateContent>
  <xr:revisionPtr revIDLastSave="1924" documentId="8_{CC9DE9C1-1D51-DD4B-BEA4-D38CD572C52C}" xr6:coauthVersionLast="47" xr6:coauthVersionMax="47" xr10:uidLastSave="{3ABD158F-027B-F648-905E-9021A391B219}"/>
  <bookViews>
    <workbookView xWindow="0" yWindow="780" windowWidth="34200" windowHeight="21300" activeTab="1" xr2:uid="{00000000-000D-0000-FFFF-FFFF00000000}"/>
  </bookViews>
  <sheets>
    <sheet name="Patient Rota" sheetId="1" r:id="rId1"/>
    <sheet name="Dashboard" sheetId="2" r:id="rId2"/>
    <sheet name="Lucy Levene" sheetId="3" r:id="rId3"/>
    <sheet name="Anita Klesch" sheetId="5" r:id="rId4"/>
    <sheet name="Tom Bock" sheetId="4" r:id="rId5"/>
    <sheet name="Jeremy" sheetId="6" r:id="rId6"/>
    <sheet name="Test Patient 2" sheetId="8" r:id="rId7"/>
    <sheet name="Test Patient" sheetId="7" r:id="rId8"/>
  </sheets>
  <definedNames>
    <definedName name="AK_End">Dashboard!$H$7</definedName>
    <definedName name="AK_Start">Dashboard!$G$7</definedName>
    <definedName name="DayEnd">Dashboard!$B$8</definedName>
    <definedName name="DayHrs">Dashboard!$B$5</definedName>
    <definedName name="DayStart">Dashboard!$B$7</definedName>
    <definedName name="JM_End">Dashboard!$H$8</definedName>
    <definedName name="JM_Start">Dashboard!$G$8</definedName>
    <definedName name="LL_End">Dashboard!$H$5</definedName>
    <definedName name="LL_Start">Dashboard!$G$5</definedName>
    <definedName name="NightHrs">Dashboard!$B$6</definedName>
    <definedName name="StaffList">Dashboard!$D$4:$D$23</definedName>
    <definedName name="TB_End">Dashboard!$H$6</definedName>
    <definedName name="TB_Start">Dashboard!$G$6</definedName>
    <definedName name="TimeList">Dashboard!$K$5:$K$37</definedName>
    <definedName name="TP_End">Dashboard!$H$9</definedName>
    <definedName name="TP_Start">Dashboard!$G$9</definedName>
    <definedName name="TP2_End">Dashboard!$H$10</definedName>
    <definedName name="TP2_Start">Dashboard!$G$10</definedName>
    <definedName name="VisitHrs">Dashboard!$B$4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J37" i="1"/>
  <c r="K37" i="1"/>
  <c r="L37" i="1"/>
  <c r="M37" i="1"/>
  <c r="J38" i="1"/>
  <c r="K38" i="1"/>
  <c r="L38" i="1"/>
  <c r="M38" i="1"/>
  <c r="J39" i="1"/>
  <c r="K39" i="1"/>
  <c r="L39" i="1"/>
  <c r="M39" i="1"/>
  <c r="J40" i="1"/>
  <c r="K40" i="1"/>
  <c r="L40" i="1"/>
  <c r="M40" i="1"/>
  <c r="J41" i="1"/>
  <c r="K41" i="1"/>
  <c r="L41" i="1"/>
  <c r="M41" i="1"/>
  <c r="J42" i="1"/>
  <c r="K42" i="1"/>
  <c r="L42" i="1"/>
  <c r="M42" i="1"/>
  <c r="J43" i="1"/>
  <c r="K43" i="1"/>
  <c r="L43" i="1"/>
  <c r="M43" i="1"/>
  <c r="M6" i="1"/>
  <c r="L6" i="1"/>
  <c r="K6" i="1"/>
  <c r="J6" i="1"/>
  <c r="A5" i="8"/>
  <c r="A5" i="7"/>
  <c r="H10" i="2"/>
  <c r="G10" i="2"/>
  <c r="H9" i="2"/>
  <c r="G9" i="2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G10" i="1"/>
  <c r="H10" i="1"/>
  <c r="I10" i="1"/>
  <c r="C11" i="1"/>
  <c r="D11" i="1"/>
  <c r="E11" i="1"/>
  <c r="F11" i="1"/>
  <c r="G11" i="1"/>
  <c r="H11" i="1"/>
  <c r="I11" i="1"/>
  <c r="D12" i="1"/>
  <c r="E12" i="1"/>
  <c r="G12" i="1"/>
  <c r="H12" i="1"/>
  <c r="I12" i="1"/>
  <c r="D13" i="1"/>
  <c r="E13" i="1"/>
  <c r="F13" i="1"/>
  <c r="G13" i="1"/>
  <c r="H13" i="1"/>
  <c r="I13" i="1"/>
  <c r="D14" i="1"/>
  <c r="E14" i="1"/>
  <c r="F14" i="1"/>
  <c r="G14" i="1"/>
  <c r="H14" i="1"/>
  <c r="I14" i="1"/>
  <c r="D15" i="1"/>
  <c r="E15" i="1"/>
  <c r="G15" i="1"/>
  <c r="H15" i="1"/>
  <c r="I15" i="1"/>
  <c r="C16" i="1"/>
  <c r="D16" i="1"/>
  <c r="E16" i="1"/>
  <c r="H16" i="1"/>
  <c r="I16" i="1"/>
  <c r="C17" i="1"/>
  <c r="D17" i="1"/>
  <c r="E17" i="1"/>
  <c r="H17" i="1"/>
  <c r="I17" i="1"/>
  <c r="D18" i="1"/>
  <c r="E18" i="1"/>
  <c r="H18" i="1"/>
  <c r="I18" i="1"/>
  <c r="D19" i="1"/>
  <c r="E19" i="1"/>
  <c r="H19" i="1"/>
  <c r="I19" i="1"/>
  <c r="D20" i="1"/>
  <c r="E20" i="1"/>
  <c r="H20" i="1"/>
  <c r="I20" i="1"/>
  <c r="D21" i="1"/>
  <c r="E21" i="1"/>
  <c r="H21" i="1"/>
  <c r="I21" i="1"/>
  <c r="D22" i="1"/>
  <c r="E22" i="1"/>
  <c r="H22" i="1"/>
  <c r="I22" i="1"/>
  <c r="D23" i="1"/>
  <c r="E23" i="1"/>
  <c r="H23" i="1"/>
  <c r="I23" i="1"/>
  <c r="D24" i="1"/>
  <c r="E24" i="1"/>
  <c r="H24" i="1"/>
  <c r="I24" i="1"/>
  <c r="D25" i="1"/>
  <c r="E25" i="1"/>
  <c r="H25" i="1"/>
  <c r="I25" i="1"/>
  <c r="D26" i="1"/>
  <c r="E26" i="1"/>
  <c r="H26" i="1"/>
  <c r="I26" i="1"/>
  <c r="D27" i="1"/>
  <c r="E27" i="1"/>
  <c r="H27" i="1"/>
  <c r="I27" i="1"/>
  <c r="D28" i="1"/>
  <c r="E28" i="1"/>
  <c r="H28" i="1"/>
  <c r="I28" i="1"/>
  <c r="D29" i="1"/>
  <c r="E29" i="1"/>
  <c r="H29" i="1"/>
  <c r="I29" i="1"/>
  <c r="D30" i="1"/>
  <c r="E30" i="1"/>
  <c r="H30" i="1"/>
  <c r="I30" i="1"/>
  <c r="D31" i="1"/>
  <c r="E31" i="1"/>
  <c r="F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I6" i="1"/>
  <c r="H6" i="1"/>
  <c r="G6" i="1"/>
  <c r="F6" i="1"/>
  <c r="E6" i="1"/>
  <c r="D6" i="1"/>
  <c r="C6" i="1"/>
  <c r="B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6" i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6" i="2"/>
  <c r="K5" i="2"/>
  <c r="H7" i="2"/>
  <c r="B8" i="2"/>
  <c r="B7" i="2"/>
  <c r="G6" i="2"/>
  <c r="H6" i="2"/>
  <c r="H8" i="2"/>
  <c r="G8" i="2"/>
  <c r="G7" i="2"/>
  <c r="G5" i="2"/>
  <c r="A32" i="2"/>
  <c r="A31" i="2"/>
  <c r="A30" i="2"/>
  <c r="A29" i="2"/>
  <c r="A28" i="2"/>
  <c r="A27" i="2"/>
  <c r="A22" i="2"/>
  <c r="A21" i="2"/>
  <c r="A20" i="2"/>
  <c r="A19" i="2"/>
  <c r="A18" i="2"/>
  <c r="A17" i="2"/>
  <c r="A16" i="2"/>
  <c r="A15" i="2"/>
  <c r="A14" i="2"/>
  <c r="A13" i="2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6" i="6"/>
  <c r="A5" i="6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6" i="5"/>
  <c r="A5" i="5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6" i="3"/>
  <c r="A5" i="3"/>
  <c r="H5" i="8" l="1"/>
  <c r="A6" i="8"/>
  <c r="H5" i="7"/>
  <c r="A6" i="7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5" i="3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5" i="5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5" i="6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5" i="4"/>
  <c r="O5" i="3"/>
  <c r="N5" i="3"/>
  <c r="M5" i="3"/>
  <c r="I5" i="3"/>
  <c r="O5" i="4"/>
  <c r="N5" i="4"/>
  <c r="M5" i="4"/>
  <c r="I5" i="4"/>
  <c r="O5" i="6"/>
  <c r="N5" i="6"/>
  <c r="M5" i="6"/>
  <c r="I5" i="6"/>
  <c r="N5" i="5"/>
  <c r="M5" i="5"/>
  <c r="L5" i="4" l="1"/>
  <c r="K5" i="4"/>
  <c r="J5" i="4"/>
  <c r="J42" i="4"/>
  <c r="K42" i="4"/>
  <c r="L42" i="4"/>
  <c r="J41" i="4"/>
  <c r="K41" i="4"/>
  <c r="L41" i="4"/>
  <c r="J40" i="4"/>
  <c r="K40" i="4"/>
  <c r="L40" i="4"/>
  <c r="J39" i="4"/>
  <c r="K39" i="4"/>
  <c r="L39" i="4"/>
  <c r="J38" i="4"/>
  <c r="K38" i="4"/>
  <c r="L38" i="4"/>
  <c r="J37" i="4"/>
  <c r="K37" i="4"/>
  <c r="L37" i="4"/>
  <c r="J36" i="4"/>
  <c r="K36" i="4"/>
  <c r="L36" i="4"/>
  <c r="J35" i="4"/>
  <c r="K35" i="4"/>
  <c r="L35" i="4"/>
  <c r="J34" i="4"/>
  <c r="K34" i="4"/>
  <c r="L34" i="4"/>
  <c r="J33" i="4"/>
  <c r="K33" i="4"/>
  <c r="L33" i="4"/>
  <c r="J32" i="4"/>
  <c r="K32" i="4"/>
  <c r="L32" i="4"/>
  <c r="J31" i="4"/>
  <c r="K31" i="4"/>
  <c r="L31" i="4"/>
  <c r="J30" i="4"/>
  <c r="K30" i="4"/>
  <c r="L30" i="4"/>
  <c r="J29" i="4"/>
  <c r="K29" i="4"/>
  <c r="L29" i="4"/>
  <c r="J28" i="4"/>
  <c r="K28" i="4"/>
  <c r="L28" i="4"/>
  <c r="J27" i="4"/>
  <c r="K27" i="4"/>
  <c r="L27" i="4"/>
  <c r="J26" i="4"/>
  <c r="K26" i="4"/>
  <c r="L26" i="4"/>
  <c r="J25" i="4"/>
  <c r="K25" i="4"/>
  <c r="L25" i="4"/>
  <c r="J24" i="4"/>
  <c r="K24" i="4"/>
  <c r="L24" i="4"/>
  <c r="J23" i="4"/>
  <c r="K23" i="4"/>
  <c r="L23" i="4"/>
  <c r="J22" i="4"/>
  <c r="K22" i="4"/>
  <c r="L22" i="4"/>
  <c r="J21" i="4"/>
  <c r="K21" i="4"/>
  <c r="L21" i="4"/>
  <c r="J20" i="4"/>
  <c r="K20" i="4"/>
  <c r="L20" i="4"/>
  <c r="J19" i="4"/>
  <c r="K19" i="4"/>
  <c r="L19" i="4"/>
  <c r="J18" i="4"/>
  <c r="K18" i="4"/>
  <c r="L18" i="4"/>
  <c r="J17" i="4"/>
  <c r="K17" i="4"/>
  <c r="L17" i="4"/>
  <c r="J16" i="4"/>
  <c r="K16" i="4"/>
  <c r="L16" i="4"/>
  <c r="J15" i="4"/>
  <c r="K15" i="4"/>
  <c r="L15" i="4"/>
  <c r="J14" i="4"/>
  <c r="K14" i="4"/>
  <c r="L14" i="4"/>
  <c r="J13" i="4"/>
  <c r="K13" i="4"/>
  <c r="L13" i="4"/>
  <c r="J12" i="4"/>
  <c r="K12" i="4"/>
  <c r="L12" i="4"/>
  <c r="J11" i="4"/>
  <c r="K11" i="4"/>
  <c r="L11" i="4"/>
  <c r="J10" i="4"/>
  <c r="K10" i="4"/>
  <c r="L10" i="4"/>
  <c r="J9" i="4"/>
  <c r="K9" i="4"/>
  <c r="L9" i="4"/>
  <c r="J8" i="4"/>
  <c r="K8" i="4"/>
  <c r="L8" i="4"/>
  <c r="J7" i="4"/>
  <c r="K7" i="4"/>
  <c r="L7" i="4"/>
  <c r="J6" i="4"/>
  <c r="K6" i="4"/>
  <c r="L6" i="4"/>
  <c r="L5" i="6"/>
  <c r="K5" i="6"/>
  <c r="J5" i="6"/>
  <c r="J42" i="6"/>
  <c r="K42" i="6"/>
  <c r="L42" i="6"/>
  <c r="J41" i="6"/>
  <c r="K41" i="6"/>
  <c r="L41" i="6"/>
  <c r="J40" i="6"/>
  <c r="K40" i="6"/>
  <c r="L40" i="6"/>
  <c r="J39" i="6"/>
  <c r="K39" i="6"/>
  <c r="L39" i="6"/>
  <c r="J38" i="6"/>
  <c r="K38" i="6"/>
  <c r="L38" i="6"/>
  <c r="J37" i="6"/>
  <c r="K37" i="6"/>
  <c r="L37" i="6"/>
  <c r="J36" i="6"/>
  <c r="K36" i="6"/>
  <c r="L36" i="6"/>
  <c r="J35" i="6"/>
  <c r="K35" i="6"/>
  <c r="L35" i="6"/>
  <c r="J34" i="6"/>
  <c r="K34" i="6"/>
  <c r="L34" i="6"/>
  <c r="J33" i="6"/>
  <c r="K33" i="6"/>
  <c r="L33" i="6"/>
  <c r="J32" i="6"/>
  <c r="K32" i="6"/>
  <c r="L32" i="6"/>
  <c r="J31" i="6"/>
  <c r="K31" i="6"/>
  <c r="L31" i="6"/>
  <c r="J30" i="6"/>
  <c r="K30" i="6"/>
  <c r="L30" i="6"/>
  <c r="J29" i="6"/>
  <c r="K29" i="6"/>
  <c r="L29" i="6"/>
  <c r="J28" i="6"/>
  <c r="K28" i="6"/>
  <c r="L28" i="6"/>
  <c r="J27" i="6"/>
  <c r="K27" i="6"/>
  <c r="L27" i="6"/>
  <c r="J26" i="6"/>
  <c r="K26" i="6"/>
  <c r="L26" i="6"/>
  <c r="J25" i="6"/>
  <c r="K25" i="6"/>
  <c r="L25" i="6"/>
  <c r="J24" i="6"/>
  <c r="K24" i="6"/>
  <c r="L24" i="6"/>
  <c r="J23" i="6"/>
  <c r="K23" i="6"/>
  <c r="L23" i="6"/>
  <c r="J22" i="6"/>
  <c r="K22" i="6"/>
  <c r="L22" i="6"/>
  <c r="J21" i="6"/>
  <c r="K21" i="6"/>
  <c r="L21" i="6"/>
  <c r="J20" i="6"/>
  <c r="K20" i="6"/>
  <c r="L20" i="6"/>
  <c r="J19" i="6"/>
  <c r="K19" i="6"/>
  <c r="L19" i="6"/>
  <c r="J18" i="6"/>
  <c r="K18" i="6"/>
  <c r="L18" i="6"/>
  <c r="J17" i="6"/>
  <c r="K17" i="6"/>
  <c r="L17" i="6"/>
  <c r="J16" i="6"/>
  <c r="K16" i="6"/>
  <c r="L16" i="6"/>
  <c r="J15" i="6"/>
  <c r="K15" i="6"/>
  <c r="L15" i="6"/>
  <c r="J14" i="6"/>
  <c r="K14" i="6"/>
  <c r="L14" i="6"/>
  <c r="J13" i="6"/>
  <c r="K13" i="6"/>
  <c r="L13" i="6"/>
  <c r="J12" i="6"/>
  <c r="K12" i="6"/>
  <c r="L12" i="6"/>
  <c r="J11" i="6"/>
  <c r="K11" i="6"/>
  <c r="L11" i="6"/>
  <c r="J10" i="6"/>
  <c r="K10" i="6"/>
  <c r="L10" i="6"/>
  <c r="J9" i="6"/>
  <c r="K9" i="6"/>
  <c r="L9" i="6"/>
  <c r="J8" i="6"/>
  <c r="K8" i="6"/>
  <c r="L8" i="6"/>
  <c r="J7" i="6"/>
  <c r="K7" i="6"/>
  <c r="L7" i="6"/>
  <c r="J6" i="6"/>
  <c r="K6" i="6"/>
  <c r="L6" i="6"/>
  <c r="K5" i="5"/>
  <c r="J5" i="5"/>
  <c r="J42" i="5"/>
  <c r="K42" i="5"/>
  <c r="J41" i="5"/>
  <c r="K41" i="5"/>
  <c r="J40" i="5"/>
  <c r="K40" i="5"/>
  <c r="J39" i="5"/>
  <c r="K39" i="5"/>
  <c r="J38" i="5"/>
  <c r="K38" i="5"/>
  <c r="J37" i="5"/>
  <c r="K37" i="5"/>
  <c r="J36" i="5"/>
  <c r="K36" i="5"/>
  <c r="J35" i="5"/>
  <c r="K35" i="5"/>
  <c r="J34" i="5"/>
  <c r="K34" i="5"/>
  <c r="J33" i="5"/>
  <c r="K33" i="5"/>
  <c r="J32" i="5"/>
  <c r="K32" i="5"/>
  <c r="J31" i="5"/>
  <c r="K31" i="5"/>
  <c r="J30" i="5"/>
  <c r="K30" i="5"/>
  <c r="J29" i="5"/>
  <c r="K29" i="5"/>
  <c r="J28" i="5"/>
  <c r="K28" i="5"/>
  <c r="J27" i="5"/>
  <c r="K27" i="5"/>
  <c r="J26" i="5"/>
  <c r="K26" i="5"/>
  <c r="J25" i="5"/>
  <c r="K25" i="5"/>
  <c r="J24" i="5"/>
  <c r="K24" i="5"/>
  <c r="J23" i="5"/>
  <c r="K23" i="5"/>
  <c r="J22" i="5"/>
  <c r="K22" i="5"/>
  <c r="J21" i="5"/>
  <c r="K21" i="5"/>
  <c r="J20" i="5"/>
  <c r="K20" i="5"/>
  <c r="J19" i="5"/>
  <c r="K19" i="5"/>
  <c r="J18" i="5"/>
  <c r="K18" i="5"/>
  <c r="J17" i="5"/>
  <c r="K17" i="5"/>
  <c r="J16" i="5"/>
  <c r="K16" i="5"/>
  <c r="J15" i="5"/>
  <c r="K15" i="5"/>
  <c r="J14" i="5"/>
  <c r="K14" i="5"/>
  <c r="J13" i="5"/>
  <c r="K13" i="5"/>
  <c r="J12" i="5"/>
  <c r="K12" i="5"/>
  <c r="J11" i="5"/>
  <c r="K11" i="5"/>
  <c r="J10" i="5"/>
  <c r="K10" i="5"/>
  <c r="J9" i="5"/>
  <c r="K9" i="5"/>
  <c r="J8" i="5"/>
  <c r="K8" i="5"/>
  <c r="J7" i="5"/>
  <c r="K7" i="5"/>
  <c r="J6" i="5"/>
  <c r="K6" i="5"/>
  <c r="L5" i="3"/>
  <c r="K5" i="3"/>
  <c r="J5" i="3"/>
  <c r="J42" i="3"/>
  <c r="K42" i="3"/>
  <c r="L42" i="3"/>
  <c r="J41" i="3"/>
  <c r="K41" i="3"/>
  <c r="L41" i="3"/>
  <c r="J40" i="3"/>
  <c r="K40" i="3"/>
  <c r="L40" i="3"/>
  <c r="J39" i="3"/>
  <c r="K39" i="3"/>
  <c r="L39" i="3"/>
  <c r="J38" i="3"/>
  <c r="K38" i="3"/>
  <c r="L38" i="3"/>
  <c r="J37" i="3"/>
  <c r="K37" i="3"/>
  <c r="L37" i="3"/>
  <c r="J36" i="3"/>
  <c r="K36" i="3"/>
  <c r="L36" i="3"/>
  <c r="J35" i="3"/>
  <c r="K35" i="3"/>
  <c r="L35" i="3"/>
  <c r="J34" i="3"/>
  <c r="K34" i="3"/>
  <c r="L34" i="3"/>
  <c r="J33" i="3"/>
  <c r="K33" i="3"/>
  <c r="L33" i="3"/>
  <c r="J32" i="3"/>
  <c r="K32" i="3"/>
  <c r="L32" i="3"/>
  <c r="J31" i="3"/>
  <c r="K31" i="3"/>
  <c r="L31" i="3"/>
  <c r="J30" i="3"/>
  <c r="K30" i="3"/>
  <c r="L30" i="3"/>
  <c r="J29" i="3"/>
  <c r="K29" i="3"/>
  <c r="L29" i="3"/>
  <c r="J28" i="3"/>
  <c r="K28" i="3"/>
  <c r="L28" i="3"/>
  <c r="J27" i="3"/>
  <c r="K27" i="3"/>
  <c r="L27" i="3"/>
  <c r="J26" i="3"/>
  <c r="K26" i="3"/>
  <c r="L26" i="3"/>
  <c r="J25" i="3"/>
  <c r="K25" i="3"/>
  <c r="L25" i="3"/>
  <c r="J24" i="3"/>
  <c r="K24" i="3"/>
  <c r="L24" i="3"/>
  <c r="J23" i="3"/>
  <c r="K23" i="3"/>
  <c r="L23" i="3"/>
  <c r="J22" i="3"/>
  <c r="K22" i="3"/>
  <c r="L22" i="3"/>
  <c r="J21" i="3"/>
  <c r="K21" i="3"/>
  <c r="L21" i="3"/>
  <c r="J20" i="3"/>
  <c r="K20" i="3"/>
  <c r="L20" i="3"/>
  <c r="J19" i="3"/>
  <c r="K19" i="3"/>
  <c r="L19" i="3"/>
  <c r="J18" i="3"/>
  <c r="K18" i="3"/>
  <c r="L18" i="3"/>
  <c r="J17" i="3"/>
  <c r="K17" i="3"/>
  <c r="L17" i="3"/>
  <c r="J16" i="3"/>
  <c r="K16" i="3"/>
  <c r="L16" i="3"/>
  <c r="J15" i="3"/>
  <c r="K15" i="3"/>
  <c r="L15" i="3"/>
  <c r="J14" i="3"/>
  <c r="K14" i="3"/>
  <c r="L14" i="3"/>
  <c r="J13" i="3"/>
  <c r="K13" i="3"/>
  <c r="L13" i="3"/>
  <c r="J12" i="3"/>
  <c r="K12" i="3"/>
  <c r="L12" i="3"/>
  <c r="J11" i="3"/>
  <c r="K11" i="3"/>
  <c r="L11" i="3"/>
  <c r="J10" i="3"/>
  <c r="K10" i="3"/>
  <c r="L10" i="3"/>
  <c r="J9" i="3"/>
  <c r="K9" i="3"/>
  <c r="L9" i="3"/>
  <c r="J8" i="3"/>
  <c r="K8" i="3"/>
  <c r="L8" i="3"/>
  <c r="J7" i="3"/>
  <c r="K7" i="3"/>
  <c r="L7" i="3"/>
  <c r="J6" i="3"/>
  <c r="K6" i="3"/>
  <c r="L6" i="3"/>
  <c r="L5" i="7"/>
  <c r="K5" i="7"/>
  <c r="J5" i="7"/>
  <c r="K5" i="8"/>
  <c r="J5" i="8"/>
  <c r="H6" i="8"/>
  <c r="A7" i="8"/>
  <c r="N5" i="8"/>
  <c r="M5" i="8"/>
  <c r="H6" i="7"/>
  <c r="A7" i="7"/>
  <c r="O5" i="7"/>
  <c r="N5" i="7"/>
  <c r="M5" i="7"/>
  <c r="I5" i="7"/>
  <c r="I42" i="4"/>
  <c r="M42" i="4"/>
  <c r="N42" i="4"/>
  <c r="O42" i="4"/>
  <c r="I41" i="4"/>
  <c r="M41" i="4"/>
  <c r="N41" i="4"/>
  <c r="O41" i="4"/>
  <c r="I40" i="4"/>
  <c r="M40" i="4"/>
  <c r="N40" i="4"/>
  <c r="O40" i="4"/>
  <c r="I39" i="4"/>
  <c r="M39" i="4"/>
  <c r="N39" i="4"/>
  <c r="O39" i="4"/>
  <c r="I38" i="4"/>
  <c r="M38" i="4"/>
  <c r="N38" i="4"/>
  <c r="O38" i="4"/>
  <c r="I37" i="4"/>
  <c r="M37" i="4"/>
  <c r="N37" i="4"/>
  <c r="O37" i="4"/>
  <c r="I36" i="4"/>
  <c r="M36" i="4"/>
  <c r="N36" i="4"/>
  <c r="O36" i="4"/>
  <c r="I35" i="4"/>
  <c r="M35" i="4"/>
  <c r="N35" i="4"/>
  <c r="O35" i="4"/>
  <c r="I34" i="4"/>
  <c r="M34" i="4"/>
  <c r="N34" i="4"/>
  <c r="O34" i="4"/>
  <c r="I33" i="4"/>
  <c r="M33" i="4"/>
  <c r="N33" i="4"/>
  <c r="O33" i="4"/>
  <c r="I32" i="4"/>
  <c r="M32" i="4"/>
  <c r="N32" i="4"/>
  <c r="O32" i="4"/>
  <c r="I31" i="4"/>
  <c r="M31" i="4"/>
  <c r="N31" i="4"/>
  <c r="O31" i="4"/>
  <c r="I30" i="4"/>
  <c r="M30" i="4"/>
  <c r="N30" i="4"/>
  <c r="O30" i="4"/>
  <c r="I29" i="4"/>
  <c r="M29" i="4"/>
  <c r="N29" i="4"/>
  <c r="O29" i="4"/>
  <c r="I28" i="4"/>
  <c r="M28" i="4"/>
  <c r="N28" i="4"/>
  <c r="O28" i="4"/>
  <c r="I27" i="4"/>
  <c r="M27" i="4"/>
  <c r="N27" i="4"/>
  <c r="O27" i="4"/>
  <c r="I26" i="4"/>
  <c r="M26" i="4"/>
  <c r="N26" i="4"/>
  <c r="O26" i="4"/>
  <c r="I25" i="4"/>
  <c r="M25" i="4"/>
  <c r="N25" i="4"/>
  <c r="O25" i="4"/>
  <c r="I24" i="4"/>
  <c r="M24" i="4"/>
  <c r="N24" i="4"/>
  <c r="O24" i="4"/>
  <c r="I23" i="4"/>
  <c r="M23" i="4"/>
  <c r="N23" i="4"/>
  <c r="O23" i="4"/>
  <c r="I22" i="4"/>
  <c r="M22" i="4"/>
  <c r="N22" i="4"/>
  <c r="O22" i="4"/>
  <c r="I21" i="4"/>
  <c r="M21" i="4"/>
  <c r="N21" i="4"/>
  <c r="O21" i="4"/>
  <c r="I20" i="4"/>
  <c r="M20" i="4"/>
  <c r="N20" i="4"/>
  <c r="O20" i="4"/>
  <c r="I19" i="4"/>
  <c r="M19" i="4"/>
  <c r="N19" i="4"/>
  <c r="O19" i="4"/>
  <c r="I18" i="4"/>
  <c r="M18" i="4"/>
  <c r="N18" i="4"/>
  <c r="O18" i="4"/>
  <c r="I17" i="4"/>
  <c r="M17" i="4"/>
  <c r="N17" i="4"/>
  <c r="O17" i="4"/>
  <c r="I16" i="4"/>
  <c r="M16" i="4"/>
  <c r="N16" i="4"/>
  <c r="O16" i="4"/>
  <c r="I15" i="4"/>
  <c r="M15" i="4"/>
  <c r="N15" i="4"/>
  <c r="O15" i="4"/>
  <c r="I14" i="4"/>
  <c r="M14" i="4"/>
  <c r="N14" i="4"/>
  <c r="O14" i="4"/>
  <c r="I13" i="4"/>
  <c r="M13" i="4"/>
  <c r="N13" i="4"/>
  <c r="O13" i="4"/>
  <c r="I12" i="4"/>
  <c r="M12" i="4"/>
  <c r="N12" i="4"/>
  <c r="O12" i="4"/>
  <c r="I11" i="4"/>
  <c r="M11" i="4"/>
  <c r="N11" i="4"/>
  <c r="O11" i="4"/>
  <c r="I10" i="4"/>
  <c r="M10" i="4"/>
  <c r="N10" i="4"/>
  <c r="O10" i="4"/>
  <c r="I9" i="4"/>
  <c r="M9" i="4"/>
  <c r="N9" i="4"/>
  <c r="O9" i="4"/>
  <c r="I8" i="4"/>
  <c r="M8" i="4"/>
  <c r="N8" i="4"/>
  <c r="O8" i="4"/>
  <c r="I7" i="4"/>
  <c r="M7" i="4"/>
  <c r="N7" i="4"/>
  <c r="O7" i="4"/>
  <c r="I6" i="4"/>
  <c r="F14" i="2" s="1"/>
  <c r="M6" i="4"/>
  <c r="N6" i="4"/>
  <c r="O6" i="4"/>
  <c r="I42" i="6"/>
  <c r="M42" i="6"/>
  <c r="N42" i="6"/>
  <c r="O42" i="6"/>
  <c r="I41" i="6"/>
  <c r="M41" i="6"/>
  <c r="N41" i="6"/>
  <c r="O41" i="6"/>
  <c r="I40" i="6"/>
  <c r="M40" i="6"/>
  <c r="N40" i="6"/>
  <c r="O40" i="6"/>
  <c r="I39" i="6"/>
  <c r="M39" i="6"/>
  <c r="N39" i="6"/>
  <c r="O39" i="6"/>
  <c r="I38" i="6"/>
  <c r="M38" i="6"/>
  <c r="N38" i="6"/>
  <c r="O38" i="6"/>
  <c r="I37" i="6"/>
  <c r="M37" i="6"/>
  <c r="N37" i="6"/>
  <c r="O37" i="6"/>
  <c r="I36" i="6"/>
  <c r="M36" i="6"/>
  <c r="N36" i="6"/>
  <c r="O36" i="6"/>
  <c r="I35" i="6"/>
  <c r="M35" i="6"/>
  <c r="N35" i="6"/>
  <c r="O35" i="6"/>
  <c r="I34" i="6"/>
  <c r="M34" i="6"/>
  <c r="N34" i="6"/>
  <c r="O34" i="6"/>
  <c r="I33" i="6"/>
  <c r="M33" i="6"/>
  <c r="N33" i="6"/>
  <c r="O33" i="6"/>
  <c r="I32" i="6"/>
  <c r="M32" i="6"/>
  <c r="N32" i="6"/>
  <c r="O32" i="6"/>
  <c r="I31" i="6"/>
  <c r="M31" i="6"/>
  <c r="N31" i="6"/>
  <c r="O31" i="6"/>
  <c r="I30" i="6"/>
  <c r="M30" i="6"/>
  <c r="N30" i="6"/>
  <c r="O30" i="6"/>
  <c r="I29" i="6"/>
  <c r="M29" i="6"/>
  <c r="N29" i="6"/>
  <c r="O29" i="6"/>
  <c r="I28" i="6"/>
  <c r="M28" i="6"/>
  <c r="N28" i="6"/>
  <c r="O28" i="6"/>
  <c r="I27" i="6"/>
  <c r="M27" i="6"/>
  <c r="N27" i="6"/>
  <c r="O27" i="6"/>
  <c r="I26" i="6"/>
  <c r="M26" i="6"/>
  <c r="N26" i="6"/>
  <c r="O26" i="6"/>
  <c r="I25" i="6"/>
  <c r="M25" i="6"/>
  <c r="N25" i="6"/>
  <c r="O25" i="6"/>
  <c r="I24" i="6"/>
  <c r="M24" i="6"/>
  <c r="N24" i="6"/>
  <c r="O24" i="6"/>
  <c r="I23" i="6"/>
  <c r="M23" i="6"/>
  <c r="N23" i="6"/>
  <c r="O23" i="6"/>
  <c r="I22" i="6"/>
  <c r="M22" i="6"/>
  <c r="N22" i="6"/>
  <c r="O22" i="6"/>
  <c r="I21" i="6"/>
  <c r="M21" i="6"/>
  <c r="N21" i="6"/>
  <c r="O21" i="6"/>
  <c r="I20" i="6"/>
  <c r="M20" i="6"/>
  <c r="N20" i="6"/>
  <c r="O20" i="6"/>
  <c r="I19" i="6"/>
  <c r="M19" i="6"/>
  <c r="N19" i="6"/>
  <c r="O19" i="6"/>
  <c r="I18" i="6"/>
  <c r="M18" i="6"/>
  <c r="N18" i="6"/>
  <c r="O18" i="6"/>
  <c r="I17" i="6"/>
  <c r="M17" i="6"/>
  <c r="N17" i="6"/>
  <c r="O17" i="6"/>
  <c r="I16" i="6"/>
  <c r="M16" i="6"/>
  <c r="N16" i="6"/>
  <c r="O16" i="6"/>
  <c r="I15" i="6"/>
  <c r="M15" i="6"/>
  <c r="N15" i="6"/>
  <c r="O15" i="6"/>
  <c r="I14" i="6"/>
  <c r="M14" i="6"/>
  <c r="N14" i="6"/>
  <c r="O14" i="6"/>
  <c r="I13" i="6"/>
  <c r="M13" i="6"/>
  <c r="N13" i="6"/>
  <c r="O13" i="6"/>
  <c r="I12" i="6"/>
  <c r="M12" i="6"/>
  <c r="N12" i="6"/>
  <c r="O12" i="6"/>
  <c r="I11" i="6"/>
  <c r="M11" i="6"/>
  <c r="N11" i="6"/>
  <c r="O11" i="6"/>
  <c r="I10" i="6"/>
  <c r="M10" i="6"/>
  <c r="N10" i="6"/>
  <c r="O10" i="6"/>
  <c r="I9" i="6"/>
  <c r="M9" i="6"/>
  <c r="N9" i="6"/>
  <c r="O9" i="6"/>
  <c r="I8" i="6"/>
  <c r="M8" i="6"/>
  <c r="N8" i="6"/>
  <c r="O8" i="6"/>
  <c r="I7" i="6"/>
  <c r="M7" i="6"/>
  <c r="N7" i="6"/>
  <c r="O7" i="6"/>
  <c r="I6" i="6"/>
  <c r="F16" i="2" s="1"/>
  <c r="M6" i="6"/>
  <c r="N6" i="6"/>
  <c r="O6" i="6"/>
  <c r="M42" i="5"/>
  <c r="N42" i="5"/>
  <c r="M41" i="5"/>
  <c r="N41" i="5"/>
  <c r="M40" i="5"/>
  <c r="N40" i="5"/>
  <c r="M39" i="5"/>
  <c r="N39" i="5"/>
  <c r="M38" i="5"/>
  <c r="N38" i="5"/>
  <c r="M37" i="5"/>
  <c r="N37" i="5"/>
  <c r="M36" i="5"/>
  <c r="N36" i="5"/>
  <c r="M35" i="5"/>
  <c r="N35" i="5"/>
  <c r="M34" i="5"/>
  <c r="N34" i="5"/>
  <c r="M33" i="5"/>
  <c r="N33" i="5"/>
  <c r="M32" i="5"/>
  <c r="N32" i="5"/>
  <c r="M31" i="5"/>
  <c r="N31" i="5"/>
  <c r="M30" i="5"/>
  <c r="N30" i="5"/>
  <c r="M29" i="5"/>
  <c r="N29" i="5"/>
  <c r="M28" i="5"/>
  <c r="N28" i="5"/>
  <c r="M27" i="5"/>
  <c r="N27" i="5"/>
  <c r="M26" i="5"/>
  <c r="N26" i="5"/>
  <c r="M25" i="5"/>
  <c r="N25" i="5"/>
  <c r="M24" i="5"/>
  <c r="N24" i="5"/>
  <c r="M23" i="5"/>
  <c r="N23" i="5"/>
  <c r="M22" i="5"/>
  <c r="N22" i="5"/>
  <c r="M21" i="5"/>
  <c r="N21" i="5"/>
  <c r="M20" i="5"/>
  <c r="N20" i="5"/>
  <c r="M19" i="5"/>
  <c r="N19" i="5"/>
  <c r="M18" i="5"/>
  <c r="N18" i="5"/>
  <c r="M17" i="5"/>
  <c r="N17" i="5"/>
  <c r="M16" i="5"/>
  <c r="N16" i="5"/>
  <c r="M15" i="5"/>
  <c r="N15" i="5"/>
  <c r="M14" i="5"/>
  <c r="N14" i="5"/>
  <c r="M13" i="5"/>
  <c r="N13" i="5"/>
  <c r="M12" i="5"/>
  <c r="N12" i="5"/>
  <c r="M11" i="5"/>
  <c r="N11" i="5"/>
  <c r="M10" i="5"/>
  <c r="N10" i="5"/>
  <c r="M9" i="5"/>
  <c r="N9" i="5"/>
  <c r="M8" i="5"/>
  <c r="N8" i="5"/>
  <c r="M7" i="5"/>
  <c r="N7" i="5"/>
  <c r="M6" i="5"/>
  <c r="N6" i="5"/>
  <c r="I42" i="3"/>
  <c r="M42" i="3"/>
  <c r="N42" i="3"/>
  <c r="O42" i="3"/>
  <c r="I41" i="3"/>
  <c r="M41" i="3"/>
  <c r="N41" i="3"/>
  <c r="O41" i="3"/>
  <c r="I40" i="3"/>
  <c r="M40" i="3"/>
  <c r="N40" i="3"/>
  <c r="O40" i="3"/>
  <c r="I39" i="3"/>
  <c r="M39" i="3"/>
  <c r="N39" i="3"/>
  <c r="O39" i="3"/>
  <c r="I38" i="3"/>
  <c r="M38" i="3"/>
  <c r="N38" i="3"/>
  <c r="O38" i="3"/>
  <c r="I37" i="3"/>
  <c r="M37" i="3"/>
  <c r="N37" i="3"/>
  <c r="O37" i="3"/>
  <c r="I36" i="3"/>
  <c r="M36" i="3"/>
  <c r="N36" i="3"/>
  <c r="O36" i="3"/>
  <c r="I35" i="3"/>
  <c r="M35" i="3"/>
  <c r="N35" i="3"/>
  <c r="O35" i="3"/>
  <c r="I34" i="3"/>
  <c r="M34" i="3"/>
  <c r="N34" i="3"/>
  <c r="O34" i="3"/>
  <c r="I33" i="3"/>
  <c r="M33" i="3"/>
  <c r="N33" i="3"/>
  <c r="O33" i="3"/>
  <c r="I32" i="3"/>
  <c r="M32" i="3"/>
  <c r="N32" i="3"/>
  <c r="O32" i="3"/>
  <c r="I31" i="3"/>
  <c r="M31" i="3"/>
  <c r="N31" i="3"/>
  <c r="O31" i="3"/>
  <c r="I30" i="3"/>
  <c r="M30" i="3"/>
  <c r="N30" i="3"/>
  <c r="O30" i="3"/>
  <c r="I29" i="3"/>
  <c r="M29" i="3"/>
  <c r="N29" i="3"/>
  <c r="O29" i="3"/>
  <c r="I28" i="3"/>
  <c r="M28" i="3"/>
  <c r="N28" i="3"/>
  <c r="O28" i="3"/>
  <c r="I27" i="3"/>
  <c r="M27" i="3"/>
  <c r="N27" i="3"/>
  <c r="O27" i="3"/>
  <c r="I26" i="3"/>
  <c r="M26" i="3"/>
  <c r="N26" i="3"/>
  <c r="O26" i="3"/>
  <c r="I25" i="3"/>
  <c r="M25" i="3"/>
  <c r="N25" i="3"/>
  <c r="O25" i="3"/>
  <c r="I24" i="3"/>
  <c r="M24" i="3"/>
  <c r="N24" i="3"/>
  <c r="O24" i="3"/>
  <c r="I23" i="3"/>
  <c r="M23" i="3"/>
  <c r="N23" i="3"/>
  <c r="O23" i="3"/>
  <c r="I22" i="3"/>
  <c r="M22" i="3"/>
  <c r="N22" i="3"/>
  <c r="O22" i="3"/>
  <c r="I21" i="3"/>
  <c r="M21" i="3"/>
  <c r="N21" i="3"/>
  <c r="O21" i="3"/>
  <c r="I20" i="3"/>
  <c r="M20" i="3"/>
  <c r="N20" i="3"/>
  <c r="O20" i="3"/>
  <c r="I19" i="3"/>
  <c r="M19" i="3"/>
  <c r="N19" i="3"/>
  <c r="O19" i="3"/>
  <c r="I18" i="3"/>
  <c r="M18" i="3"/>
  <c r="N18" i="3"/>
  <c r="O18" i="3"/>
  <c r="I17" i="3"/>
  <c r="M17" i="3"/>
  <c r="N17" i="3"/>
  <c r="O17" i="3"/>
  <c r="I16" i="3"/>
  <c r="M16" i="3"/>
  <c r="N16" i="3"/>
  <c r="O16" i="3"/>
  <c r="I15" i="3"/>
  <c r="M15" i="3"/>
  <c r="N15" i="3"/>
  <c r="O15" i="3"/>
  <c r="I14" i="3"/>
  <c r="M14" i="3"/>
  <c r="N14" i="3"/>
  <c r="O14" i="3"/>
  <c r="I13" i="3"/>
  <c r="M13" i="3"/>
  <c r="N13" i="3"/>
  <c r="O13" i="3"/>
  <c r="I12" i="3"/>
  <c r="M12" i="3"/>
  <c r="N12" i="3"/>
  <c r="O12" i="3"/>
  <c r="I11" i="3"/>
  <c r="M11" i="3"/>
  <c r="N11" i="3"/>
  <c r="O11" i="3"/>
  <c r="I10" i="3"/>
  <c r="M10" i="3"/>
  <c r="N10" i="3"/>
  <c r="O10" i="3"/>
  <c r="I9" i="3"/>
  <c r="M9" i="3"/>
  <c r="N9" i="3"/>
  <c r="O9" i="3"/>
  <c r="I8" i="3"/>
  <c r="M8" i="3"/>
  <c r="N8" i="3"/>
  <c r="O8" i="3"/>
  <c r="I7" i="3"/>
  <c r="M7" i="3"/>
  <c r="N7" i="3"/>
  <c r="O7" i="3"/>
  <c r="I6" i="3"/>
  <c r="M6" i="3"/>
  <c r="N6" i="3"/>
  <c r="O6" i="3"/>
  <c r="F15" i="2" l="1"/>
  <c r="C22" i="2"/>
  <c r="B22" i="2"/>
  <c r="F13" i="2"/>
  <c r="B21" i="2"/>
  <c r="C21" i="2"/>
  <c r="J6" i="7"/>
  <c r="K6" i="7"/>
  <c r="L6" i="7"/>
  <c r="J6" i="8"/>
  <c r="K6" i="8"/>
  <c r="H7" i="8"/>
  <c r="A8" i="8"/>
  <c r="M6" i="8"/>
  <c r="N6" i="8"/>
  <c r="H7" i="7"/>
  <c r="A8" i="7"/>
  <c r="I6" i="7"/>
  <c r="M6" i="7"/>
  <c r="N6" i="7"/>
  <c r="O6" i="7"/>
  <c r="H15" i="2"/>
  <c r="G15" i="2"/>
  <c r="J7" i="7" l="1"/>
  <c r="K7" i="7"/>
  <c r="L7" i="7"/>
  <c r="J7" i="8"/>
  <c r="K7" i="8"/>
  <c r="H8" i="8"/>
  <c r="A9" i="8"/>
  <c r="M7" i="8"/>
  <c r="N7" i="8"/>
  <c r="H8" i="7"/>
  <c r="A9" i="7"/>
  <c r="I7" i="7"/>
  <c r="M7" i="7"/>
  <c r="N7" i="7"/>
  <c r="O7" i="7"/>
  <c r="J8" i="7" l="1"/>
  <c r="K8" i="7"/>
  <c r="L8" i="7"/>
  <c r="J8" i="8"/>
  <c r="K8" i="8"/>
  <c r="H9" i="8"/>
  <c r="A10" i="8"/>
  <c r="M8" i="8"/>
  <c r="N8" i="8"/>
  <c r="H9" i="7"/>
  <c r="A10" i="7"/>
  <c r="I8" i="7"/>
  <c r="M8" i="7"/>
  <c r="N8" i="7"/>
  <c r="O8" i="7"/>
  <c r="J9" i="7" l="1"/>
  <c r="K9" i="7"/>
  <c r="L9" i="7"/>
  <c r="J9" i="8"/>
  <c r="K9" i="8"/>
  <c r="H10" i="8"/>
  <c r="A11" i="8"/>
  <c r="M9" i="8"/>
  <c r="N9" i="8"/>
  <c r="H10" i="7"/>
  <c r="A11" i="7"/>
  <c r="I9" i="7"/>
  <c r="M9" i="7"/>
  <c r="N9" i="7"/>
  <c r="O9" i="7"/>
  <c r="J10" i="7" l="1"/>
  <c r="K10" i="7"/>
  <c r="L10" i="7"/>
  <c r="J10" i="8"/>
  <c r="K10" i="8"/>
  <c r="H11" i="8"/>
  <c r="A12" i="8"/>
  <c r="M10" i="8"/>
  <c r="N10" i="8"/>
  <c r="H11" i="7"/>
  <c r="A12" i="7"/>
  <c r="I10" i="7"/>
  <c r="M10" i="7"/>
  <c r="N10" i="7"/>
  <c r="O10" i="7"/>
  <c r="J11" i="7" l="1"/>
  <c r="K11" i="7"/>
  <c r="L11" i="7"/>
  <c r="J11" i="8"/>
  <c r="K11" i="8"/>
  <c r="H12" i="8"/>
  <c r="A13" i="8"/>
  <c r="M11" i="8"/>
  <c r="N11" i="8"/>
  <c r="H12" i="7"/>
  <c r="A13" i="7"/>
  <c r="I11" i="7"/>
  <c r="M11" i="7"/>
  <c r="N11" i="7"/>
  <c r="O11" i="7"/>
  <c r="C27" i="2" l="1"/>
  <c r="B27" i="2"/>
  <c r="J12" i="7"/>
  <c r="K12" i="7"/>
  <c r="L12" i="7"/>
  <c r="D27" i="2"/>
  <c r="J12" i="8"/>
  <c r="K12" i="8"/>
  <c r="H13" i="8"/>
  <c r="A14" i="8"/>
  <c r="M12" i="8"/>
  <c r="N12" i="8"/>
  <c r="H13" i="7"/>
  <c r="A14" i="7"/>
  <c r="I12" i="7"/>
  <c r="M12" i="7"/>
  <c r="N12" i="7"/>
  <c r="O12" i="7"/>
  <c r="J13" i="7" l="1"/>
  <c r="K13" i="7"/>
  <c r="L13" i="7"/>
  <c r="J13" i="8"/>
  <c r="K13" i="8"/>
  <c r="H14" i="8"/>
  <c r="A15" i="8"/>
  <c r="M13" i="8"/>
  <c r="N13" i="8"/>
  <c r="H14" i="7"/>
  <c r="A15" i="7"/>
  <c r="I13" i="7"/>
  <c r="M13" i="7"/>
  <c r="N13" i="7"/>
  <c r="O13" i="7"/>
  <c r="J14" i="7" l="1"/>
  <c r="K14" i="7"/>
  <c r="L14" i="7"/>
  <c r="J14" i="8"/>
  <c r="K14" i="8"/>
  <c r="H15" i="8"/>
  <c r="A16" i="8"/>
  <c r="M14" i="8"/>
  <c r="N14" i="8"/>
  <c r="H15" i="7"/>
  <c r="A16" i="7"/>
  <c r="I14" i="7"/>
  <c r="M14" i="7"/>
  <c r="N14" i="7"/>
  <c r="O14" i="7"/>
  <c r="J15" i="7" l="1"/>
  <c r="K15" i="7"/>
  <c r="L15" i="7"/>
  <c r="J15" i="8"/>
  <c r="K15" i="8"/>
  <c r="H16" i="8"/>
  <c r="A17" i="8"/>
  <c r="M15" i="8"/>
  <c r="N15" i="8"/>
  <c r="H16" i="7"/>
  <c r="A17" i="7"/>
  <c r="I15" i="7"/>
  <c r="M15" i="7"/>
  <c r="N15" i="7"/>
  <c r="O15" i="7"/>
  <c r="J16" i="7" l="1"/>
  <c r="K16" i="7"/>
  <c r="L16" i="7"/>
  <c r="J16" i="8"/>
  <c r="K16" i="8"/>
  <c r="H17" i="8"/>
  <c r="A18" i="8"/>
  <c r="M16" i="8"/>
  <c r="N16" i="8"/>
  <c r="H17" i="7"/>
  <c r="A18" i="7"/>
  <c r="I16" i="7"/>
  <c r="M16" i="7"/>
  <c r="N16" i="7"/>
  <c r="O16" i="7"/>
  <c r="J17" i="7" l="1"/>
  <c r="K17" i="7"/>
  <c r="L17" i="7"/>
  <c r="J17" i="8"/>
  <c r="K17" i="8"/>
  <c r="H18" i="8"/>
  <c r="A19" i="8"/>
  <c r="M17" i="8"/>
  <c r="N17" i="8"/>
  <c r="H18" i="7"/>
  <c r="A19" i="7"/>
  <c r="I17" i="7"/>
  <c r="M17" i="7"/>
  <c r="N17" i="7"/>
  <c r="O17" i="7"/>
  <c r="J18" i="7" l="1"/>
  <c r="K18" i="7"/>
  <c r="L18" i="7"/>
  <c r="J18" i="8"/>
  <c r="K18" i="8"/>
  <c r="H19" i="8"/>
  <c r="A20" i="8"/>
  <c r="M18" i="8"/>
  <c r="N18" i="8"/>
  <c r="H19" i="7"/>
  <c r="A20" i="7"/>
  <c r="I18" i="7"/>
  <c r="M18" i="7"/>
  <c r="N18" i="7"/>
  <c r="O18" i="7"/>
  <c r="C28" i="2" l="1"/>
  <c r="B28" i="2"/>
  <c r="J19" i="7"/>
  <c r="K19" i="7"/>
  <c r="L19" i="7"/>
  <c r="D28" i="2"/>
  <c r="J19" i="8"/>
  <c r="K19" i="8"/>
  <c r="H20" i="8"/>
  <c r="A21" i="8"/>
  <c r="M19" i="8"/>
  <c r="N19" i="8"/>
  <c r="H20" i="7"/>
  <c r="A21" i="7"/>
  <c r="I19" i="7"/>
  <c r="M19" i="7"/>
  <c r="N19" i="7"/>
  <c r="O19" i="7"/>
  <c r="J20" i="7" l="1"/>
  <c r="K20" i="7"/>
  <c r="L20" i="7"/>
  <c r="J20" i="8"/>
  <c r="K20" i="8"/>
  <c r="H21" i="8"/>
  <c r="A22" i="8"/>
  <c r="M20" i="8"/>
  <c r="N20" i="8"/>
  <c r="H21" i="7"/>
  <c r="A22" i="7"/>
  <c r="I20" i="7"/>
  <c r="M20" i="7"/>
  <c r="N20" i="7"/>
  <c r="O20" i="7"/>
  <c r="J21" i="7" l="1"/>
  <c r="K21" i="7"/>
  <c r="L21" i="7"/>
  <c r="J21" i="8"/>
  <c r="K21" i="8"/>
  <c r="H22" i="8"/>
  <c r="A23" i="8"/>
  <c r="M21" i="8"/>
  <c r="N21" i="8"/>
  <c r="H22" i="7"/>
  <c r="A23" i="7"/>
  <c r="I21" i="7"/>
  <c r="M21" i="7"/>
  <c r="N21" i="7"/>
  <c r="O21" i="7"/>
  <c r="J22" i="7" l="1"/>
  <c r="K22" i="7"/>
  <c r="L22" i="7"/>
  <c r="J22" i="8"/>
  <c r="K22" i="8"/>
  <c r="H23" i="8"/>
  <c r="A24" i="8"/>
  <c r="M22" i="8"/>
  <c r="N22" i="8"/>
  <c r="H23" i="7"/>
  <c r="A24" i="7"/>
  <c r="I22" i="7"/>
  <c r="M22" i="7"/>
  <c r="N22" i="7"/>
  <c r="O22" i="7"/>
  <c r="J23" i="7" l="1"/>
  <c r="K23" i="7"/>
  <c r="L23" i="7"/>
  <c r="J23" i="8"/>
  <c r="K23" i="8"/>
  <c r="H24" i="8"/>
  <c r="A25" i="8"/>
  <c r="M23" i="8"/>
  <c r="N23" i="8"/>
  <c r="H24" i="7"/>
  <c r="A25" i="7"/>
  <c r="I23" i="7"/>
  <c r="M23" i="7"/>
  <c r="N23" i="7"/>
  <c r="O23" i="7"/>
  <c r="J24" i="7" l="1"/>
  <c r="K24" i="7"/>
  <c r="L24" i="7"/>
  <c r="J24" i="8"/>
  <c r="K24" i="8"/>
  <c r="H25" i="8"/>
  <c r="A26" i="8"/>
  <c r="M24" i="8"/>
  <c r="N24" i="8"/>
  <c r="H25" i="7"/>
  <c r="A26" i="7"/>
  <c r="I24" i="7"/>
  <c r="M24" i="7"/>
  <c r="N24" i="7"/>
  <c r="O24" i="7"/>
  <c r="J25" i="7" l="1"/>
  <c r="K25" i="7"/>
  <c r="L25" i="7"/>
  <c r="J25" i="8"/>
  <c r="K25" i="8"/>
  <c r="H26" i="8"/>
  <c r="A27" i="8"/>
  <c r="M25" i="8"/>
  <c r="N25" i="8"/>
  <c r="H26" i="7"/>
  <c r="A27" i="7"/>
  <c r="I25" i="7"/>
  <c r="M25" i="7"/>
  <c r="N25" i="7"/>
  <c r="O25" i="7"/>
  <c r="C29" i="2" l="1"/>
  <c r="B29" i="2"/>
  <c r="J26" i="7"/>
  <c r="K26" i="7"/>
  <c r="L26" i="7"/>
  <c r="D29" i="2"/>
  <c r="J26" i="8"/>
  <c r="K26" i="8"/>
  <c r="H27" i="8"/>
  <c r="A28" i="8"/>
  <c r="M26" i="8"/>
  <c r="N26" i="8"/>
  <c r="H27" i="7"/>
  <c r="A28" i="7"/>
  <c r="I26" i="7"/>
  <c r="M26" i="7"/>
  <c r="N26" i="7"/>
  <c r="O26" i="7"/>
  <c r="J27" i="7" l="1"/>
  <c r="K27" i="7"/>
  <c r="L27" i="7"/>
  <c r="J27" i="8"/>
  <c r="K27" i="8"/>
  <c r="H28" i="8"/>
  <c r="A29" i="8"/>
  <c r="M27" i="8"/>
  <c r="N27" i="8"/>
  <c r="H28" i="7"/>
  <c r="A29" i="7"/>
  <c r="I27" i="7"/>
  <c r="M27" i="7"/>
  <c r="N27" i="7"/>
  <c r="O27" i="7"/>
  <c r="J28" i="7" l="1"/>
  <c r="K28" i="7"/>
  <c r="L28" i="7"/>
  <c r="J28" i="8"/>
  <c r="K28" i="8"/>
  <c r="H29" i="8"/>
  <c r="A30" i="8"/>
  <c r="M28" i="8"/>
  <c r="N28" i="8"/>
  <c r="H29" i="7"/>
  <c r="A30" i="7"/>
  <c r="I28" i="7"/>
  <c r="M28" i="7"/>
  <c r="N28" i="7"/>
  <c r="O28" i="7"/>
  <c r="J29" i="7" l="1"/>
  <c r="K29" i="7"/>
  <c r="L29" i="7"/>
  <c r="J29" i="8"/>
  <c r="K29" i="8"/>
  <c r="H30" i="8"/>
  <c r="A31" i="8"/>
  <c r="M29" i="8"/>
  <c r="N29" i="8"/>
  <c r="H30" i="7"/>
  <c r="A31" i="7"/>
  <c r="I29" i="7"/>
  <c r="M29" i="7"/>
  <c r="N29" i="7"/>
  <c r="O29" i="7"/>
  <c r="J30" i="7" l="1"/>
  <c r="K30" i="7"/>
  <c r="L30" i="7"/>
  <c r="J30" i="8"/>
  <c r="K30" i="8"/>
  <c r="H31" i="8"/>
  <c r="A32" i="8"/>
  <c r="M30" i="8"/>
  <c r="N30" i="8"/>
  <c r="H31" i="7"/>
  <c r="A32" i="7"/>
  <c r="I30" i="7"/>
  <c r="M30" i="7"/>
  <c r="N30" i="7"/>
  <c r="O30" i="7"/>
  <c r="J31" i="7" l="1"/>
  <c r="K31" i="7"/>
  <c r="L31" i="7"/>
  <c r="J31" i="8"/>
  <c r="K31" i="8"/>
  <c r="H32" i="8"/>
  <c r="A33" i="8"/>
  <c r="M31" i="8"/>
  <c r="N31" i="8"/>
  <c r="H32" i="7"/>
  <c r="A33" i="7"/>
  <c r="I31" i="7"/>
  <c r="M31" i="7"/>
  <c r="N31" i="7"/>
  <c r="O31" i="7"/>
  <c r="J32" i="7" l="1"/>
  <c r="K32" i="7"/>
  <c r="L32" i="7"/>
  <c r="J32" i="8"/>
  <c r="K32" i="8"/>
  <c r="H33" i="8"/>
  <c r="A34" i="8"/>
  <c r="M32" i="8"/>
  <c r="N32" i="8"/>
  <c r="H33" i="7"/>
  <c r="A34" i="7"/>
  <c r="I32" i="7"/>
  <c r="M32" i="7"/>
  <c r="N32" i="7"/>
  <c r="O32" i="7"/>
  <c r="C30" i="2" l="1"/>
  <c r="B30" i="2"/>
  <c r="J33" i="7"/>
  <c r="K33" i="7"/>
  <c r="L33" i="7"/>
  <c r="D30" i="2"/>
  <c r="J33" i="8"/>
  <c r="K33" i="8"/>
  <c r="H34" i="8"/>
  <c r="A35" i="8"/>
  <c r="M33" i="8"/>
  <c r="N33" i="8"/>
  <c r="H34" i="7"/>
  <c r="A35" i="7"/>
  <c r="I33" i="7"/>
  <c r="M33" i="7"/>
  <c r="N33" i="7"/>
  <c r="O33" i="7"/>
  <c r="J34" i="7" l="1"/>
  <c r="K34" i="7"/>
  <c r="L34" i="7"/>
  <c r="J34" i="8"/>
  <c r="K34" i="8"/>
  <c r="H35" i="8"/>
  <c r="A36" i="8"/>
  <c r="M34" i="8"/>
  <c r="N34" i="8"/>
  <c r="H35" i="7"/>
  <c r="A36" i="7"/>
  <c r="I34" i="7"/>
  <c r="M34" i="7"/>
  <c r="N34" i="7"/>
  <c r="O34" i="7"/>
  <c r="J35" i="7" l="1"/>
  <c r="K35" i="7"/>
  <c r="L35" i="7"/>
  <c r="J35" i="8"/>
  <c r="K35" i="8"/>
  <c r="H36" i="8"/>
  <c r="A37" i="8"/>
  <c r="M35" i="8"/>
  <c r="N35" i="8"/>
  <c r="H36" i="7"/>
  <c r="A37" i="7"/>
  <c r="I35" i="7"/>
  <c r="M35" i="7"/>
  <c r="N35" i="7"/>
  <c r="O35" i="7"/>
  <c r="J36" i="7" l="1"/>
  <c r="K36" i="7"/>
  <c r="L36" i="7"/>
  <c r="J36" i="8"/>
  <c r="K36" i="8"/>
  <c r="H37" i="8"/>
  <c r="A38" i="8"/>
  <c r="M36" i="8"/>
  <c r="N36" i="8"/>
  <c r="H37" i="7"/>
  <c r="A38" i="7"/>
  <c r="I36" i="7"/>
  <c r="M36" i="7"/>
  <c r="N36" i="7"/>
  <c r="O36" i="7"/>
  <c r="J37" i="7" l="1"/>
  <c r="K37" i="7"/>
  <c r="L37" i="7"/>
  <c r="J37" i="8"/>
  <c r="K37" i="8"/>
  <c r="H38" i="8"/>
  <c r="A39" i="8"/>
  <c r="M37" i="8"/>
  <c r="N37" i="8"/>
  <c r="H38" i="7"/>
  <c r="A39" i="7"/>
  <c r="I37" i="7"/>
  <c r="M37" i="7"/>
  <c r="N37" i="7"/>
  <c r="O37" i="7"/>
  <c r="J38" i="7" l="1"/>
  <c r="K38" i="7"/>
  <c r="L38" i="7"/>
  <c r="J38" i="8"/>
  <c r="K38" i="8"/>
  <c r="H39" i="8"/>
  <c r="A40" i="8"/>
  <c r="M38" i="8"/>
  <c r="N38" i="8"/>
  <c r="H39" i="7"/>
  <c r="A40" i="7"/>
  <c r="I38" i="7"/>
  <c r="M38" i="7"/>
  <c r="N38" i="7"/>
  <c r="O38" i="7"/>
  <c r="J39" i="7" l="1"/>
  <c r="K39" i="7"/>
  <c r="L39" i="7"/>
  <c r="J39" i="8"/>
  <c r="K39" i="8"/>
  <c r="H40" i="8"/>
  <c r="A41" i="8"/>
  <c r="M39" i="8"/>
  <c r="N39" i="8"/>
  <c r="H40" i="7"/>
  <c r="A41" i="7"/>
  <c r="I39" i="7"/>
  <c r="M39" i="7"/>
  <c r="N39" i="7"/>
  <c r="O39" i="7"/>
  <c r="C31" i="2" l="1"/>
  <c r="B31" i="2"/>
  <c r="J40" i="7"/>
  <c r="K40" i="7"/>
  <c r="L40" i="7"/>
  <c r="D31" i="2"/>
  <c r="J40" i="8"/>
  <c r="K40" i="8"/>
  <c r="H41" i="8"/>
  <c r="A42" i="8"/>
  <c r="H42" i="8" s="1"/>
  <c r="M40" i="8"/>
  <c r="N40" i="8"/>
  <c r="H41" i="7"/>
  <c r="A42" i="7"/>
  <c r="H42" i="7" s="1"/>
  <c r="I40" i="7"/>
  <c r="M40" i="7"/>
  <c r="N40" i="7"/>
  <c r="O40" i="7"/>
  <c r="J42" i="7" l="1"/>
  <c r="K42" i="7"/>
  <c r="L42" i="7"/>
  <c r="J41" i="7"/>
  <c r="K41" i="7"/>
  <c r="L41" i="7"/>
  <c r="J42" i="8"/>
  <c r="K42" i="8"/>
  <c r="J41" i="8"/>
  <c r="K41" i="8"/>
  <c r="M42" i="8"/>
  <c r="N42" i="8"/>
  <c r="M41" i="8"/>
  <c r="N41" i="8"/>
  <c r="I42" i="7"/>
  <c r="M42" i="7"/>
  <c r="N42" i="7"/>
  <c r="O42" i="7"/>
  <c r="I41" i="7"/>
  <c r="M41" i="7"/>
  <c r="N41" i="7"/>
  <c r="O41" i="7"/>
  <c r="B14" i="2" l="1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C13" i="2"/>
  <c r="B13" i="2"/>
  <c r="C32" i="2"/>
  <c r="C33" i="2" s="1"/>
  <c r="B32" i="2"/>
  <c r="B33" i="2" s="1"/>
  <c r="F17" i="2"/>
  <c r="F18" i="2"/>
  <c r="D32" i="2"/>
  <c r="D33" i="2" s="1"/>
  <c r="H21" i="2"/>
  <c r="H18" i="2" l="1"/>
  <c r="G18" i="2"/>
</calcChain>
</file>

<file path=xl/sharedStrings.xml><?xml version="1.0" encoding="utf-8"?>
<sst xmlns="http://schemas.openxmlformats.org/spreadsheetml/2006/main" count="298" uniqueCount="90">
  <si>
    <t>Patient Care Rota</t>
  </si>
  <si>
    <t>Starting 8th July 2026 · live consolidated view (edit on the client tabs)</t>
  </si>
  <si>
    <t>Date</t>
  </si>
  <si>
    <t>Lucy Levene</t>
  </si>
  <si>
    <t>Tom Bock</t>
  </si>
  <si>
    <t>Anita Klesch (24-Hour Coverage)</t>
  </si>
  <si>
    <t>Jeremy</t>
  </si>
  <si>
    <t>Test Patient</t>
  </si>
  <si>
    <t>Test Patient 2 (24h)</t>
  </si>
  <si>
    <t>AM</t>
  </si>
  <si>
    <t>PM</t>
  </si>
  <si>
    <t>Day (8am–8pm)</t>
  </si>
  <si>
    <t>Night (8pm–8am)</t>
  </si>
  <si>
    <t>Billie</t>
  </si>
  <si>
    <t>Roderick</t>
  </si>
  <si>
    <t>Naresh</t>
  </si>
  <si>
    <t>Rochelle</t>
  </si>
  <si>
    <t>Meseret</t>
  </si>
  <si>
    <t>Veronica</t>
  </si>
  <si>
    <t>Ruth</t>
  </si>
  <si>
    <t>Maica</t>
  </si>
  <si>
    <t>Shift Details</t>
  </si>
  <si>
    <t xml:space="preserve">Patient LL: AM Shift | PM Shift </t>
  </si>
  <si>
    <t>Patient TB: AM Shift | PM Shift</t>
  </si>
  <si>
    <t>Patient AK: 24-Hour Coverage (Day: 08:00–20:00 | Night: 20:00–08:00)</t>
  </si>
  <si>
    <t>Patient Jeremy: AM Shift | PM Shift</t>
  </si>
  <si>
    <t>Use the empty cells to assign staff members to each shift.</t>
  </si>
  <si>
    <t>Care Rota - Central Dashboard</t>
  </si>
  <si>
    <t>Shift Hours (editable)</t>
  </si>
  <si>
    <t>Staff Roster</t>
  </si>
  <si>
    <t>Client Engagement Dates</t>
  </si>
  <si>
    <t>Visit (AM / PM)</t>
  </si>
  <si>
    <t>Client</t>
  </si>
  <si>
    <t>Start</t>
  </si>
  <si>
    <t>End</t>
  </si>
  <si>
    <t>Time options</t>
  </si>
  <si>
    <t>Day Shift</t>
  </si>
  <si>
    <t>Night Shift</t>
  </si>
  <si>
    <t>Day starts</t>
  </si>
  <si>
    <t>Anita Klesch</t>
  </si>
  <si>
    <t>Day ends</t>
  </si>
  <si>
    <t>Jeremy Thomas</t>
  </si>
  <si>
    <t>Ricardo</t>
  </si>
  <si>
    <t>Test Patient 2</t>
  </si>
  <si>
    <t>Staff Totals (whole rota)</t>
  </si>
  <si>
    <t>Client Activity</t>
  </si>
  <si>
    <t>Staff</t>
  </si>
  <si>
    <t>Shifts</t>
  </si>
  <si>
    <t>Hours</t>
  </si>
  <si>
    <t>Scheduled</t>
  </si>
  <si>
    <t>Coverage</t>
  </si>
  <si>
    <t>Gaps</t>
  </si>
  <si>
    <t>—</t>
  </si>
  <si>
    <t>Double-Booking Alerts</t>
  </si>
  <si>
    <t>Conflicting shift cells:</t>
  </si>
  <si>
    <t>Flags same staff double-booked in overlapping time. Enter visit times to activate.</t>
  </si>
  <si>
    <t>Weekly Summary</t>
  </si>
  <si>
    <t>Week starting</t>
  </si>
  <si>
    <t>Filled</t>
  </si>
  <si>
    <t>Gaps (Anita)</t>
  </si>
  <si>
    <t>TOTAL</t>
  </si>
  <si>
    <t>Lucy Levene — Care Rota</t>
  </si>
  <si>
    <t>Visits · AM &amp; PM (2 hours each)</t>
  </si>
  <si>
    <t>Visit 1</t>
  </si>
  <si>
    <t>Time</t>
  </si>
  <si>
    <t>Visit 2</t>
  </si>
  <si>
    <t>Visit 3</t>
  </si>
  <si>
    <t>inWin</t>
  </si>
  <si>
    <t>visits</t>
  </si>
  <si>
    <t>fV1</t>
  </si>
  <si>
    <t>fV2</t>
  </si>
  <si>
    <t>fV3</t>
  </si>
  <si>
    <t>effV1</t>
  </si>
  <si>
    <t>effV2</t>
  </si>
  <si>
    <t>effV3</t>
  </si>
  <si>
    <t>Tom Bock — Care Rota</t>
  </si>
  <si>
    <t>Anita Klesch — Care Rota</t>
  </si>
  <si>
    <t>24-hour coverage · Day 08:00–20:00 | Night 20:00–08:00</t>
  </si>
  <si>
    <t>Day Shift (12h)</t>
  </si>
  <si>
    <t>Night Shift (12h)</t>
  </si>
  <si>
    <t>fDay</t>
  </si>
  <si>
    <t>fNight</t>
  </si>
  <si>
    <t>effDay</t>
  </si>
  <si>
    <t>effNight</t>
  </si>
  <si>
    <t>z</t>
  </si>
  <si>
    <t>Jeremy — Care Rota</t>
  </si>
  <si>
    <t>Test Patient 2 — Care Rota</t>
  </si>
  <si>
    <t>Test Patient — Care Rota</t>
  </si>
  <si>
    <t>Visit client · IV antibiotics · up to 3 timed visits/day (2h each)</t>
  </si>
  <si>
    <t>Joriza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</si>
</sst>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 dd\-mmm"/>
    <numFmt numFmtId="165" formatCode="0&quot; h&quot;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 (Body)"/>
    </font>
    <font>
      <i/>
      <sz val="12"/>
      <color rgb="FF666666"/>
      <name val="Calibri (Body)"/>
    </font>
    <font>
      <b/>
      <sz val="11"/>
      <color rgb="FFFFFFFF"/>
      <name val="Calibri"/>
      <family val="2"/>
      <scheme val="minor"/>
    </font>
    <font>
      <b/>
      <sz val="13"/>
      <color rgb="FF1F4E78"/>
      <name val="Calibri (Body)"/>
    </font>
    <font>
      <b/>
      <sz val="12"/>
      <color rgb="FF2E75B6"/>
      <name val="Calibri (Body)"/>
    </font>
    <font>
      <b/>
      <sz val="12"/>
      <color rgb="FF548235"/>
      <name val="Calibri (Body)"/>
    </font>
    <font>
      <b/>
      <sz val="12"/>
      <color rgb="FF7030A0"/>
      <name val="Calibri (Body)"/>
    </font>
    <font>
      <b/>
      <sz val="12"/>
      <color rgb="FFC55A11"/>
      <name val="Calibri (Body)"/>
    </font>
    <font>
      <b/>
      <sz val="16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8"/>
      <color rgb="FF999999"/>
      <name val="Calibri"/>
      <family val="2"/>
      <scheme val="minor"/>
    </font>
    <font>
      <sz val="8"/>
      <color rgb="FFBFBFB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808080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666666"/>
      <name val="Calibri (Body)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BA39C"/>
        <bgColor indexed="64"/>
      </patternFill>
    </fill>
    <fill>
      <patternFill patternType="solid">
        <fgColor rgb="FF9C5A3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3" borderId="5" xfId="0" applyFont="1" applyFill="1" applyBorder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11" fillId="0" borderId="0" xfId="0" applyFont="1"/>
    <xf numFmtId="0" fontId="14" fillId="0" borderId="0" xfId="0" applyFont="1"/>
    <xf numFmtId="165" fontId="15" fillId="9" borderId="0" xfId="0" applyNumberFormat="1" applyFont="1" applyFill="1" applyAlignment="1">
      <alignment horizontal="center"/>
    </xf>
    <xf numFmtId="0" fontId="0" fillId="0" borderId="6" xfId="0" applyBorder="1"/>
    <xf numFmtId="0" fontId="16" fillId="0" borderId="0" xfId="0" applyFont="1"/>
    <xf numFmtId="0" fontId="17" fillId="0" borderId="0" xfId="0" applyFont="1"/>
    <xf numFmtId="0" fontId="0" fillId="0" borderId="7" xfId="0" applyBorder="1"/>
    <xf numFmtId="0" fontId="0" fillId="0" borderId="3" xfId="0" applyBorder="1"/>
    <xf numFmtId="0" fontId="3" fillId="2" borderId="5" xfId="0" applyFont="1" applyFill="1" applyBorder="1" applyAlignment="1">
      <alignment horizontal="center"/>
    </xf>
    <xf numFmtId="0" fontId="0" fillId="0" borderId="5" xfId="0" applyBorder="1"/>
    <xf numFmtId="164" fontId="0" fillId="0" borderId="5" xfId="0" applyNumberFormat="1" applyBorder="1"/>
    <xf numFmtId="0" fontId="11" fillId="7" borderId="5" xfId="0" applyFont="1" applyFill="1" applyBorder="1"/>
    <xf numFmtId="0" fontId="0" fillId="0" borderId="5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5" fontId="15" fillId="9" borderId="5" xfId="0" applyNumberFormat="1" applyFont="1" applyFill="1" applyBorder="1" applyAlignment="1">
      <alignment horizontal="center"/>
    </xf>
    <xf numFmtId="18" fontId="0" fillId="8" borderId="5" xfId="0" applyNumberFormat="1" applyFill="1" applyBorder="1" applyAlignment="1">
      <alignment horizontal="center"/>
    </xf>
    <xf numFmtId="18" fontId="0" fillId="0" borderId="5" xfId="0" applyNumberFormat="1" applyBorder="1" applyAlignment="1">
      <alignment horizontal="center"/>
    </xf>
    <xf numFmtId="18" fontId="15" fillId="9" borderId="0" xfId="0" applyNumberFormat="1" applyFont="1" applyFill="1" applyAlignment="1">
      <alignment horizontal="center"/>
    </xf>
    <xf numFmtId="18" fontId="19" fillId="0" borderId="0" xfId="0" applyNumberFormat="1" applyFont="1"/>
    <xf numFmtId="0" fontId="22" fillId="10" borderId="5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22" fillId="10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3" fillId="2" borderId="5" xfId="0" applyFont="1" applyFill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11" fillId="7" borderId="5" xfId="0" applyNumberFormat="1" applyFont="1" applyFill="1" applyBorder="1" applyAlignment="1">
      <alignment horizontal="right"/>
    </xf>
    <xf numFmtId="0" fontId="9" fillId="3" borderId="0" xfId="0" applyFont="1" applyFill="1" applyAlignment="1">
      <alignment horizontal="center"/>
    </xf>
    <xf numFmtId="0" fontId="0" fillId="0" borderId="0" xfId="0"/>
    <xf numFmtId="0" fontId="10" fillId="0" borderId="0" xfId="0" applyFont="1" applyAlignment="1">
      <alignment horizontal="center"/>
    </xf>
    <xf numFmtId="0" fontId="20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3" fillId="11" borderId="5" xfId="0" applyFont="1" applyFill="1" applyBorder="1" applyAlignment="1">
      <alignment horizontal="center"/>
    </xf>
    <xf numFmtId="0" fontId="0" fillId="0" borderId="5" xfId="0" applyBorder="1"/>
    <xf numFmtId="0" fontId="3" fillId="12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0" fillId="0" borderId="4" xfId="0" applyBorder="1"/>
    <xf numFmtId="0" fontId="8" fillId="0" borderId="0" xfId="0" applyFont="1"/>
    <xf numFmtId="0" fontId="3" fillId="5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4" fillId="0" borderId="0" xfId="0" applyFont="1"/>
    <xf numFmtId="0" fontId="1" fillId="0" borderId="0" xfId="0" applyFont="1"/>
    <xf numFmtId="0" fontId="2" fillId="0" borderId="0" xfId="0" applyFont="1"/>
    <xf numFmtId="0" fontId="6" fillId="0" borderId="0" xfId="0" applyFont="1"/>
    <xf numFmtId="0" fontId="3" fillId="4" borderId="5" xfId="0" applyFont="1" applyFill="1" applyBorder="1" applyAlignment="1">
      <alignment horizontal="center"/>
    </xf>
    <xf numFmtId="0" fontId="7" fillId="0" borderId="0" xfId="0" applyFont="1"/>
    <xf numFmtId="0" fontId="3" fillId="3" borderId="5" xfId="0" applyFont="1" applyFill="1" applyBorder="1" applyAlignment="1">
      <alignment horizontal="center"/>
    </xf>
    <xf numFmtId="0" fontId="5" fillId="0" borderId="0" xfId="0" applyFon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3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44">
    <dxf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A6A6A6"/>
      </font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EAEDF2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DE9D9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A6A6A6"/>
      </font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EAEDF2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A6A6A6"/>
      </font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EAEDF2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DE9D9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A6A6A6"/>
      </font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EAEDF2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A6A6A6"/>
      </font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EAEDF2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A6A6A6"/>
      </font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EAEDF2"/>
        </patternFill>
      </fill>
    </dxf>
    <dxf>
      <font>
        <color rgb="FF375623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7106BDDA-159A-6049-A622-0B5AB40C728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dda503c-cf51-422f-8cdb-0253616f286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1903C75E-2B72-4B43-9DD4-9AF635696059}">
  <we:reference id="11d7cf85-ae5a-43b8-bc58-1e1a151cce24" version="1.0.0.1" store="excatalog" storeType="excatalog"/>
  <we:alternateReferences>
    <we:reference id="WA200010725" version="1.0.0.1" store="en-gb" storeType="omex"/>
  </we:alternateReferences>
  <we:properties>
    <we:property name="claude.fileId" value="&quot;ba1cedb2-48fb-41d2-8622-0ec0b364883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A297177E-137F-4DE3-BB4C-39A9B16AFEFB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7a4309d2-e44d-4623-9821-ba3b758b5db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workbookViewId="0">
      <pane ySplit="5" topLeftCell="A6" activePane="bottomLeft" state="frozen"/>
      <selection pane="bottomLeft" activeCell="C19" sqref="C19:C21"/>
    </sheetView>
  </sheetViews>
  <sheetFormatPr baseColWidth="10" defaultColWidth="8.83203125" defaultRowHeight="15" x14ac:dyDescent="0.2"/>
  <cols>
    <col min="1" max="1" width="18.1640625" customWidth="1"/>
    <col min="2" max="13" width="16.6640625" customWidth="1"/>
  </cols>
  <sheetData>
    <row r="1" spans="1:13" ht="30" customHeight="1" x14ac:dyDescent="0.2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8" customHeight="1" x14ac:dyDescent="0.2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4" spans="1:13" ht="29" customHeight="1" x14ac:dyDescent="0.2">
      <c r="A4" s="51" t="s">
        <v>2</v>
      </c>
      <c r="B4" s="58" t="s">
        <v>3</v>
      </c>
      <c r="C4" s="45"/>
      <c r="D4" s="56" t="s">
        <v>4</v>
      </c>
      <c r="E4" s="45"/>
      <c r="F4" s="50" t="s">
        <v>5</v>
      </c>
      <c r="G4" s="45"/>
      <c r="H4" s="47" t="s">
        <v>6</v>
      </c>
      <c r="I4" s="48"/>
      <c r="J4" s="44" t="s">
        <v>7</v>
      </c>
      <c r="K4" s="45"/>
      <c r="L4" s="46" t="s">
        <v>8</v>
      </c>
      <c r="M4" s="45"/>
    </row>
    <row r="5" spans="1:13" ht="26.25" customHeight="1" x14ac:dyDescent="0.2">
      <c r="A5" s="45"/>
      <c r="B5" s="28" t="s">
        <v>9</v>
      </c>
      <c r="C5" s="28" t="s">
        <v>10</v>
      </c>
      <c r="D5" s="28" t="s">
        <v>9</v>
      </c>
      <c r="E5" s="28" t="s">
        <v>10</v>
      </c>
      <c r="F5" s="28" t="s">
        <v>11</v>
      </c>
      <c r="G5" s="28" t="s">
        <v>12</v>
      </c>
      <c r="H5" s="28" t="s">
        <v>9</v>
      </c>
      <c r="I5" s="31" t="s">
        <v>10</v>
      </c>
      <c r="J5" s="28" t="s">
        <v>9</v>
      </c>
      <c r="K5" s="28" t="s">
        <v>10</v>
      </c>
      <c r="L5" s="28" t="s">
        <v>11</v>
      </c>
      <c r="M5" s="28" t="s">
        <v>12</v>
      </c>
    </row>
    <row r="6" spans="1:13" ht="35" customHeight="1" x14ac:dyDescent="0.2">
      <c r="A6" s="2">
        <f>'Lucy Levene'!A5</f>
        <v>46211</v>
      </c>
      <c r="B6" s="19" t="str">
        <f>IF('Lucy Levene'!B5="","",'Lucy Levene'!B5)</f>
        <v/>
      </c>
      <c r="C6" s="19" t="str">
        <f>IF('Lucy Levene'!D5="","",'Lucy Levene'!D5)</f>
        <v/>
      </c>
      <c r="D6" s="19" t="str">
        <f>IF('Tom Bock'!B5="","",'Tom Bock'!B5)</f>
        <v/>
      </c>
      <c r="E6" s="19" t="str">
        <f>IF('Tom Bock'!D5="","",'Tom Bock'!D5)</f>
        <v/>
      </c>
      <c r="F6" s="19" t="str">
        <f>IF('Anita Klesch'!B5="","",'Anita Klesch'!B5)</f>
        <v>Naresh</v>
      </c>
      <c r="G6" s="19" t="str">
        <f>IF('Anita Klesch'!C5="","",'Anita Klesch'!C5)</f>
        <v>Maica</v>
      </c>
      <c r="H6" s="19" t="str">
        <f>IF(Jeremy!B5="","",Jeremy!B5)</f>
        <v/>
      </c>
      <c r="I6" s="32" t="str">
        <f>IF(Jeremy!D5="","",Jeremy!D5)</f>
        <v/>
      </c>
      <c r="J6" s="19" t="str">
        <f>IF('Test Patient'!B5="","",'Test Patient'!B5)</f>
        <v/>
      </c>
      <c r="K6" s="19" t="str">
        <f>IF('Test Patient'!D5="","",'Test Patient'!D5)</f>
        <v/>
      </c>
      <c r="L6" s="19" t="str">
        <f>IF('Test Patient 2'!B5="","",'Test Patient 2'!B5)</f>
        <v/>
      </c>
      <c r="M6" s="19" t="str">
        <f>IF('Test Patient 2'!C5="","",'Test Patient 2'!C5)</f>
        <v/>
      </c>
    </row>
    <row r="7" spans="1:13" ht="35" customHeight="1" x14ac:dyDescent="0.2">
      <c r="A7" s="2">
        <f>'Lucy Levene'!A6</f>
        <v>46212</v>
      </c>
      <c r="B7" s="19" t="str">
        <f>IF('Lucy Levene'!B6="","",'Lucy Levene'!B6)</f>
        <v/>
      </c>
      <c r="C7" s="19" t="str">
        <f>IF('Lucy Levene'!D6="","",'Lucy Levene'!D6)</f>
        <v>Roderick</v>
      </c>
      <c r="D7" s="19" t="str">
        <f>IF('Tom Bock'!B6="","",'Tom Bock'!B6)</f>
        <v/>
      </c>
      <c r="E7" s="19" t="str">
        <f>IF('Tom Bock'!D6="","",'Tom Bock'!D6)</f>
        <v/>
      </c>
      <c r="F7" s="19" t="str">
        <f>IF('Anita Klesch'!B6="","",'Anita Klesch'!B6)</f>
        <v>Naresh</v>
      </c>
      <c r="G7" s="19" t="str">
        <f>IF('Anita Klesch'!C6="","",'Anita Klesch'!C6)</f>
        <v>Maica</v>
      </c>
      <c r="H7" s="19" t="str">
        <f>IF(Jeremy!B6="","",Jeremy!B6)</f>
        <v/>
      </c>
      <c r="I7" s="32" t="str">
        <f>IF(Jeremy!D6="","",Jeremy!D6)</f>
        <v/>
      </c>
      <c r="J7" s="19" t="str">
        <f>IF('Test Patient'!B6="","",'Test Patient'!B6)</f>
        <v/>
      </c>
      <c r="K7" s="19" t="str">
        <f>IF('Test Patient'!D6="","",'Test Patient'!D6)</f>
        <v/>
      </c>
      <c r="L7" s="19" t="str">
        <f>IF('Test Patient 2'!B6="","",'Test Patient 2'!B6)</f>
        <v/>
      </c>
      <c r="M7" s="19" t="str">
        <f>IF('Test Patient 2'!C6="","",'Test Patient 2'!C6)</f>
        <v/>
      </c>
    </row>
    <row r="8" spans="1:13" ht="35" customHeight="1" x14ac:dyDescent="0.2">
      <c r="A8" s="2">
        <f>'Lucy Levene'!A7</f>
        <v>46213</v>
      </c>
      <c r="B8" s="19" t="str">
        <f>IF('Lucy Levene'!B7="","",'Lucy Levene'!B7)</f>
        <v>Billie</v>
      </c>
      <c r="C8" s="19" t="str">
        <f>IF('Lucy Levene'!D7="","",'Lucy Levene'!D7)</f>
        <v>Billie</v>
      </c>
      <c r="D8" s="19" t="str">
        <f>IF('Tom Bock'!B7="","",'Tom Bock'!B7)</f>
        <v/>
      </c>
      <c r="E8" s="19" t="str">
        <f>IF('Tom Bock'!D7="","",'Tom Bock'!D7)</f>
        <v/>
      </c>
      <c r="F8" s="19" t="str">
        <f>IF('Anita Klesch'!B7="","",'Anita Klesch'!B7)</f>
        <v>Rochelle</v>
      </c>
      <c r="G8" s="19" t="str">
        <f>IF('Anita Klesch'!C7="","",'Anita Klesch'!C7)</f>
        <v>Naresh</v>
      </c>
      <c r="H8" s="19" t="str">
        <f>IF(Jeremy!B7="","",Jeremy!B7)</f>
        <v/>
      </c>
      <c r="I8" s="32" t="str">
        <f>IF(Jeremy!D7="","",Jeremy!D7)</f>
        <v/>
      </c>
      <c r="J8" s="19" t="str">
        <f>IF('Test Patient'!B7="","",'Test Patient'!B7)</f>
        <v/>
      </c>
      <c r="K8" s="19" t="str">
        <f>IF('Test Patient'!D7="","",'Test Patient'!D7)</f>
        <v/>
      </c>
      <c r="L8" s="19" t="str">
        <f>IF('Test Patient 2'!B7="","",'Test Patient 2'!B7)</f>
        <v/>
      </c>
      <c r="M8" s="19" t="str">
        <f>IF('Test Patient 2'!C7="","",'Test Patient 2'!C7)</f>
        <v/>
      </c>
    </row>
    <row r="9" spans="1:13" ht="35" customHeight="1" x14ac:dyDescent="0.2">
      <c r="A9" s="2">
        <f>'Lucy Levene'!A8</f>
        <v>46214</v>
      </c>
      <c r="B9" s="19" t="str">
        <f>IF('Lucy Levene'!B8="","",'Lucy Levene'!B8)</f>
        <v>Roderick</v>
      </c>
      <c r="C9" s="19" t="str">
        <f>IF('Lucy Levene'!D8="","",'Lucy Levene'!D8)</f>
        <v>Roderick</v>
      </c>
      <c r="D9" s="19" t="str">
        <f>IF('Tom Bock'!B8="","",'Tom Bock'!B8)</f>
        <v/>
      </c>
      <c r="E9" s="19" t="str">
        <f>IF('Tom Bock'!D8="","",'Tom Bock'!D8)</f>
        <v/>
      </c>
      <c r="F9" s="19" t="str">
        <f>IF('Anita Klesch'!B8="","",'Anita Klesch'!B8)</f>
        <v>Rochelle</v>
      </c>
      <c r="G9" s="19" t="str">
        <f>IF('Anita Klesch'!C8="","",'Anita Klesch'!C8)</f>
        <v>Naresh</v>
      </c>
      <c r="H9" s="19" t="str">
        <f>IF(Jeremy!B8="","",Jeremy!B8)</f>
        <v/>
      </c>
      <c r="I9" s="32" t="str">
        <f>IF(Jeremy!D8="","",Jeremy!D8)</f>
        <v/>
      </c>
      <c r="J9" s="19" t="str">
        <f>IF('Test Patient'!B8="","",'Test Patient'!B8)</f>
        <v/>
      </c>
      <c r="K9" s="19" t="str">
        <f>IF('Test Patient'!D8="","",'Test Patient'!D8)</f>
        <v/>
      </c>
      <c r="L9" s="19" t="str">
        <f>IF('Test Patient 2'!B8="","",'Test Patient 2'!B8)</f>
        <v/>
      </c>
      <c r="M9" s="19" t="str">
        <f>IF('Test Patient 2'!C8="","",'Test Patient 2'!C8)</f>
        <v/>
      </c>
    </row>
    <row r="10" spans="1:13" ht="35" customHeight="1" x14ac:dyDescent="0.2">
      <c r="A10" s="2">
        <f>'Lucy Levene'!A9</f>
        <v>46215</v>
      </c>
      <c r="B10" s="19" t="str">
        <f>IF('Lucy Levene'!B9="","",'Lucy Levene'!B9)</f>
        <v>Roderick</v>
      </c>
      <c r="C10" s="19" t="str">
        <f>IF('Lucy Levene'!D9="","",'Lucy Levene'!D9)</f>
        <v>Roderick</v>
      </c>
      <c r="D10" s="19" t="str">
        <f>IF('Tom Bock'!B9="","",'Tom Bock'!B9)</f>
        <v>Meseret</v>
      </c>
      <c r="E10" s="19" t="str">
        <f>IF('Tom Bock'!D9="","",'Tom Bock'!D9)</f>
        <v/>
      </c>
      <c r="F10" s="19" t="str">
        <f>IF('Anita Klesch'!B9="","",'Anita Klesch'!B9)</f>
        <v>Rochelle</v>
      </c>
      <c r="G10" s="19" t="str">
        <f>IF('Anita Klesch'!C9="","",'Anita Klesch'!C9)</f>
        <v>Naresh</v>
      </c>
      <c r="H10" s="19" t="str">
        <f>IF(Jeremy!B9="","",Jeremy!B9)</f>
        <v/>
      </c>
      <c r="I10" s="32" t="str">
        <f>IF(Jeremy!D9="","",Jeremy!D9)</f>
        <v/>
      </c>
      <c r="J10" s="19" t="str">
        <f>IF('Test Patient'!B9="","",'Test Patient'!B9)</f>
        <v/>
      </c>
      <c r="K10" s="19" t="str">
        <f>IF('Test Patient'!D9="","",'Test Patient'!D9)</f>
        <v/>
      </c>
      <c r="L10" s="19" t="str">
        <f>IF('Test Patient 2'!B9="","",'Test Patient 2'!B9)</f>
        <v/>
      </c>
      <c r="M10" s="19" t="str">
        <f>IF('Test Patient 2'!C9="","",'Test Patient 2'!C9)</f>
        <v/>
      </c>
    </row>
    <row r="11" spans="1:13" ht="35" customHeight="1" x14ac:dyDescent="0.2">
      <c r="A11" s="2">
        <f>'Lucy Levene'!A10</f>
        <v>46216</v>
      </c>
      <c r="B11" s="19" t="s">
        <v>13</v>
      </c>
      <c r="C11" s="19" t="str">
        <f>IF('Lucy Levene'!D10="","",'Lucy Levene'!D10)</f>
        <v>Roderick</v>
      </c>
      <c r="D11" s="19" t="str">
        <f>IF('Tom Bock'!B10="","",'Tom Bock'!B10)</f>
        <v/>
      </c>
      <c r="E11" s="19" t="str">
        <f>IF('Tom Bock'!D10="","",'Tom Bock'!D10)</f>
        <v/>
      </c>
      <c r="F11" s="19" t="str">
        <f>IF('Anita Klesch'!B10="","",'Anita Klesch'!B10)</f>
        <v>Ruth</v>
      </c>
      <c r="G11" s="19" t="str">
        <f>IF('Anita Klesch'!C10="","",'Anita Klesch'!C10)</f>
        <v>Maica</v>
      </c>
      <c r="H11" s="19" t="str">
        <f>IF(Jeremy!B10="","",Jeremy!B10)</f>
        <v/>
      </c>
      <c r="I11" s="32" t="str">
        <f>IF(Jeremy!D10="","",Jeremy!D10)</f>
        <v/>
      </c>
      <c r="J11" s="19" t="str">
        <f>IF('Test Patient'!B10="","",'Test Patient'!B10)</f>
        <v/>
      </c>
      <c r="K11" s="19" t="str">
        <f>IF('Test Patient'!D10="","",'Test Patient'!D10)</f>
        <v/>
      </c>
      <c r="L11" s="19" t="str">
        <f>IF('Test Patient 2'!B10="","",'Test Patient 2'!B10)</f>
        <v/>
      </c>
      <c r="M11" s="19" t="str">
        <f>IF('Test Patient 2'!C10="","",'Test Patient 2'!C10)</f>
        <v/>
      </c>
    </row>
    <row r="12" spans="1:13" ht="35" customHeight="1" x14ac:dyDescent="0.2">
      <c r="A12" s="2">
        <f>'Lucy Levene'!A11</f>
        <v>46217</v>
      </c>
      <c r="B12" s="19" t="s">
        <v>14</v>
      </c>
      <c r="C12" s="19" t="s">
        <v>14</v>
      </c>
      <c r="D12" s="19" t="str">
        <f>IF('Tom Bock'!B11="","",'Tom Bock'!B11)</f>
        <v/>
      </c>
      <c r="E12" s="19" t="str">
        <f>IF('Tom Bock'!D11="","",'Tom Bock'!D11)</f>
        <v/>
      </c>
      <c r="F12" s="19" t="s">
        <v>15</v>
      </c>
      <c r="G12" s="19" t="str">
        <f>IF('Anita Klesch'!C11="","",'Anita Klesch'!C11)</f>
        <v>Maica</v>
      </c>
      <c r="H12" s="19" t="str">
        <f>IF(Jeremy!B11="","",Jeremy!B11)</f>
        <v/>
      </c>
      <c r="I12" s="32" t="str">
        <f>IF(Jeremy!D11="","",Jeremy!D11)</f>
        <v/>
      </c>
      <c r="J12" s="19" t="str">
        <f>IF('Test Patient'!B11="","",'Test Patient'!B11)</f>
        <v/>
      </c>
      <c r="K12" s="19" t="str">
        <f>IF('Test Patient'!D11="","",'Test Patient'!D11)</f>
        <v/>
      </c>
      <c r="L12" s="19" t="str">
        <f>IF('Test Patient 2'!B11="","",'Test Patient 2'!B11)</f>
        <v/>
      </c>
      <c r="M12" s="19" t="str">
        <f>IF('Test Patient 2'!C11="","",'Test Patient 2'!C11)</f>
        <v/>
      </c>
    </row>
    <row r="13" spans="1:13" ht="35" customHeight="1" x14ac:dyDescent="0.2">
      <c r="A13" s="2">
        <f>'Lucy Levene'!A12</f>
        <v>46218</v>
      </c>
      <c r="B13" s="19" t="s">
        <v>16</v>
      </c>
      <c r="C13" s="19" t="s">
        <v>14</v>
      </c>
      <c r="D13" s="19" t="str">
        <f>IF('Tom Bock'!B12="","",'Tom Bock'!B12)</f>
        <v/>
      </c>
      <c r="E13" s="19" t="str">
        <f>IF('Tom Bock'!D12="","",'Tom Bock'!D12)</f>
        <v/>
      </c>
      <c r="F13" s="19" t="str">
        <f>IF('Anita Klesch'!B12="","",'Anita Klesch'!B12)</f>
        <v>Naresh</v>
      </c>
      <c r="G13" s="19" t="str">
        <f>IF('Anita Klesch'!C12="","",'Anita Klesch'!C12)</f>
        <v>Maica</v>
      </c>
      <c r="H13" s="19" t="str">
        <f>IF(Jeremy!B12="","",Jeremy!B12)</f>
        <v/>
      </c>
      <c r="I13" s="32" t="str">
        <f>IF(Jeremy!D12="","",Jeremy!D12)</f>
        <v/>
      </c>
      <c r="J13" s="19" t="str">
        <f>IF('Test Patient'!B12="","",'Test Patient'!B12)</f>
        <v/>
      </c>
      <c r="K13" s="19" t="str">
        <f>IF('Test Patient'!D12="","",'Test Patient'!D12)</f>
        <v/>
      </c>
      <c r="L13" s="19" t="str">
        <f>IF('Test Patient 2'!B12="","",'Test Patient 2'!B12)</f>
        <v/>
      </c>
      <c r="M13" s="19" t="str">
        <f>IF('Test Patient 2'!C12="","",'Test Patient 2'!C12)</f>
        <v/>
      </c>
    </row>
    <row r="14" spans="1:13" ht="35" customHeight="1" x14ac:dyDescent="0.2">
      <c r="A14" s="2">
        <f>'Lucy Levene'!A13</f>
        <v>46219</v>
      </c>
      <c r="B14" s="19" t="s">
        <v>14</v>
      </c>
      <c r="C14" s="19" t="s">
        <v>14</v>
      </c>
      <c r="D14" s="19" t="str">
        <f>IF('Tom Bock'!B13="","",'Tom Bock'!B13)</f>
        <v/>
      </c>
      <c r="E14" s="19" t="str">
        <f>IF('Tom Bock'!D13="","",'Tom Bock'!D13)</f>
        <v/>
      </c>
      <c r="F14" s="19" t="str">
        <f>IF('Anita Klesch'!B13="","",'Anita Klesch'!B13)</f>
        <v>Naresh</v>
      </c>
      <c r="G14" s="19" t="str">
        <f>IF('Anita Klesch'!C13="","",'Anita Klesch'!C13)</f>
        <v>Maica</v>
      </c>
      <c r="H14" s="19" t="str">
        <f>IF(Jeremy!B13="","",Jeremy!B13)</f>
        <v/>
      </c>
      <c r="I14" s="32" t="str">
        <f>IF(Jeremy!D13="","",Jeremy!D13)</f>
        <v/>
      </c>
      <c r="J14" s="19" t="str">
        <f>IF('Test Patient'!B13="","",'Test Patient'!B13)</f>
        <v/>
      </c>
      <c r="K14" s="19" t="str">
        <f>IF('Test Patient'!D13="","",'Test Patient'!D13)</f>
        <v/>
      </c>
      <c r="L14" s="19" t="str">
        <f>IF('Test Patient 2'!B13="","",'Test Patient 2'!B13)</f>
        <v/>
      </c>
      <c r="M14" s="19" t="str">
        <f>IF('Test Patient 2'!C13="","",'Test Patient 2'!C13)</f>
        <v/>
      </c>
    </row>
    <row r="15" spans="1:13" ht="35" customHeight="1" x14ac:dyDescent="0.2">
      <c r="A15" s="2">
        <f>'Lucy Levene'!A14</f>
        <v>46220</v>
      </c>
      <c r="B15" s="19" t="s">
        <v>17</v>
      </c>
      <c r="C15" s="19" t="s">
        <v>14</v>
      </c>
      <c r="D15" s="19" t="str">
        <f>IF('Tom Bock'!B14="","",'Tom Bock'!B14)</f>
        <v/>
      </c>
      <c r="E15" s="19" t="str">
        <f>IF('Tom Bock'!D14="","",'Tom Bock'!D14)</f>
        <v/>
      </c>
      <c r="F15" s="19" t="s">
        <v>18</v>
      </c>
      <c r="G15" s="19" t="str">
        <f>IF('Anita Klesch'!C14="","",'Anita Klesch'!C14)</f>
        <v>Maica</v>
      </c>
      <c r="H15" s="19" t="str">
        <f>IF(Jeremy!B14="","",Jeremy!B14)</f>
        <v/>
      </c>
      <c r="I15" s="32" t="str">
        <f>IF(Jeremy!D14="","",Jeremy!D14)</f>
        <v/>
      </c>
      <c r="J15" s="19" t="str">
        <f>IF('Test Patient'!B14="","",'Test Patient'!B14)</f>
        <v/>
      </c>
      <c r="K15" s="19" t="str">
        <f>IF('Test Patient'!D14="","",'Test Patient'!D14)</f>
        <v/>
      </c>
      <c r="L15" s="19" t="str">
        <f>IF('Test Patient 2'!B14="","",'Test Patient 2'!B14)</f>
        <v/>
      </c>
      <c r="M15" s="19" t="str">
        <f>IF('Test Patient 2'!C14="","",'Test Patient 2'!C14)</f>
        <v/>
      </c>
    </row>
    <row r="16" spans="1:13" ht="35" customHeight="1" x14ac:dyDescent="0.2">
      <c r="A16" s="2">
        <f>'Lucy Levene'!A15</f>
        <v>46221</v>
      </c>
      <c r="B16" s="19" t="s">
        <v>16</v>
      </c>
      <c r="C16" s="19" t="str">
        <f>IF('Lucy Levene'!D15="","",'Lucy Levene'!D15)</f>
        <v>Roderick</v>
      </c>
      <c r="D16" s="19" t="str">
        <f>IF('Tom Bock'!B15="","",'Tom Bock'!B15)</f>
        <v/>
      </c>
      <c r="E16" s="19" t="str">
        <f>IF('Tom Bock'!D15="","",'Tom Bock'!D15)</f>
        <v/>
      </c>
      <c r="F16" s="19" t="s">
        <v>18</v>
      </c>
      <c r="G16" s="19" t="s">
        <v>19</v>
      </c>
      <c r="H16" s="19" t="str">
        <f>IF(Jeremy!B15="","",Jeremy!B15)</f>
        <v/>
      </c>
      <c r="I16" s="32" t="str">
        <f>IF(Jeremy!D15="","",Jeremy!D15)</f>
        <v/>
      </c>
      <c r="J16" s="19" t="str">
        <f>IF('Test Patient'!B15="","",'Test Patient'!B15)</f>
        <v/>
      </c>
      <c r="K16" s="19" t="str">
        <f>IF('Test Patient'!D15="","",'Test Patient'!D15)</f>
        <v/>
      </c>
      <c r="L16" s="19" t="str">
        <f>IF('Test Patient 2'!B15="","",'Test Patient 2'!B15)</f>
        <v/>
      </c>
      <c r="M16" s="19" t="str">
        <f>IF('Test Patient 2'!C15="","",'Test Patient 2'!C15)</f>
        <v/>
      </c>
    </row>
    <row r="17" spans="1:13" ht="35" customHeight="1" x14ac:dyDescent="0.2">
      <c r="A17" s="2">
        <f>'Lucy Levene'!A16</f>
        <v>46222</v>
      </c>
      <c r="B17" s="19" t="s">
        <v>13</v>
      </c>
      <c r="C17" s="19" t="str">
        <f>IF('Lucy Levene'!D16="","",'Lucy Levene'!D16)</f>
        <v>Roderick</v>
      </c>
      <c r="D17" s="19" t="str">
        <f>IF('Tom Bock'!B16="","",'Tom Bock'!B16)</f>
        <v/>
      </c>
      <c r="E17" s="19" t="str">
        <f>IF('Tom Bock'!D16="","",'Tom Bock'!D16)</f>
        <v/>
      </c>
      <c r="F17" s="19" t="s">
        <v>15</v>
      </c>
      <c r="G17" s="19" t="s">
        <v>19</v>
      </c>
      <c r="H17" s="19" t="str">
        <f>IF(Jeremy!B16="","",Jeremy!B16)</f>
        <v/>
      </c>
      <c r="I17" s="32" t="str">
        <f>IF(Jeremy!D16="","",Jeremy!D16)</f>
        <v/>
      </c>
      <c r="J17" s="19" t="str">
        <f>IF('Test Patient'!B16="","",'Test Patient'!B16)</f>
        <v/>
      </c>
      <c r="K17" s="19" t="str">
        <f>IF('Test Patient'!D16="","",'Test Patient'!D16)</f>
        <v/>
      </c>
      <c r="L17" s="19" t="str">
        <f>IF('Test Patient 2'!B16="","",'Test Patient 2'!B16)</f>
        <v/>
      </c>
      <c r="M17" s="19" t="str">
        <f>IF('Test Patient 2'!C16="","",'Test Patient 2'!C16)</f>
        <v/>
      </c>
    </row>
    <row r="18" spans="1:13" ht="35" customHeight="1" x14ac:dyDescent="0.2">
      <c r="A18" s="2">
        <f>'Lucy Levene'!A17</f>
        <v>46223</v>
      </c>
      <c r="B18" s="19" t="s">
        <v>13</v>
      </c>
      <c r="C18" s="19" t="s">
        <v>14</v>
      </c>
      <c r="D18" s="19" t="str">
        <f>IF('Tom Bock'!B17="","",'Tom Bock'!B17)</f>
        <v/>
      </c>
      <c r="E18" s="19" t="str">
        <f>IF('Tom Bock'!D17="","",'Tom Bock'!D17)</f>
        <v/>
      </c>
      <c r="F18" s="19" t="s">
        <v>15</v>
      </c>
      <c r="G18" s="19" t="s">
        <v>20</v>
      </c>
      <c r="H18" s="19" t="str">
        <f>IF(Jeremy!B17="","",Jeremy!B17)</f>
        <v/>
      </c>
      <c r="I18" s="32" t="str">
        <f>IF(Jeremy!D17="","",Jeremy!D17)</f>
        <v/>
      </c>
      <c r="J18" s="19" t="str">
        <f>IF('Test Patient'!B17="","",'Test Patient'!B17)</f>
        <v/>
      </c>
      <c r="K18" s="19" t="str">
        <f>IF('Test Patient'!D17="","",'Test Patient'!D17)</f>
        <v/>
      </c>
      <c r="L18" s="19" t="str">
        <f>IF('Test Patient 2'!B17="","",'Test Patient 2'!B17)</f>
        <v/>
      </c>
      <c r="M18" s="19" t="str">
        <f>IF('Test Patient 2'!C17="","",'Test Patient 2'!C17)</f>
        <v/>
      </c>
    </row>
    <row r="19" spans="1:13" ht="35" customHeight="1" x14ac:dyDescent="0.2">
      <c r="A19" s="2">
        <f>'Lucy Levene'!A18</f>
        <v>46224</v>
      </c>
      <c r="B19" s="19" t="s">
        <v>14</v>
      </c>
      <c r="C19" s="19" t="s">
        <v>16</v>
      </c>
      <c r="D19" s="19" t="str">
        <f>IF('Tom Bock'!B18="","",'Tom Bock'!B18)</f>
        <v/>
      </c>
      <c r="E19" s="19" t="str">
        <f>IF('Tom Bock'!D18="","",'Tom Bock'!D18)</f>
        <v/>
      </c>
      <c r="F19" s="60"/>
      <c r="G19" s="61"/>
      <c r="H19" s="19" t="str">
        <f>IF(Jeremy!B18="","",Jeremy!B18)</f>
        <v/>
      </c>
      <c r="I19" s="32" t="str">
        <f>IF(Jeremy!D18="","",Jeremy!D18)</f>
        <v/>
      </c>
      <c r="J19" s="19" t="str">
        <f>IF('Test Patient'!B18="","",'Test Patient'!B18)</f>
        <v/>
      </c>
      <c r="K19" s="19" t="str">
        <f>IF('Test Patient'!D18="","",'Test Patient'!D18)</f>
        <v/>
      </c>
      <c r="L19" s="19" t="str">
        <f>IF('Test Patient 2'!B18="","",'Test Patient 2'!B18)</f>
        <v/>
      </c>
      <c r="M19" s="19" t="str">
        <f>IF('Test Patient 2'!C18="","",'Test Patient 2'!C18)</f>
        <v/>
      </c>
    </row>
    <row r="20" spans="1:13" ht="34.5" customHeight="1" x14ac:dyDescent="0.2">
      <c r="A20" s="2">
        <f>'Lucy Levene'!A19</f>
        <v>46225</v>
      </c>
      <c r="B20" s="19" t="s">
        <v>16</v>
      </c>
      <c r="C20" s="19" t="s">
        <v>16</v>
      </c>
      <c r="D20" s="19" t="str">
        <f>IF('Tom Bock'!B19="","",'Tom Bock'!B19)</f>
        <v/>
      </c>
      <c r="E20" s="19" t="str">
        <f>IF('Tom Bock'!D19="","",'Tom Bock'!D19)</f>
        <v/>
      </c>
      <c r="F20" s="62"/>
      <c r="G20" s="63"/>
      <c r="H20" s="19" t="str">
        <f>IF(Jeremy!B19="","",Jeremy!B19)</f>
        <v/>
      </c>
      <c r="I20" s="32" t="str">
        <f>IF(Jeremy!D19="","",Jeremy!D19)</f>
        <v/>
      </c>
      <c r="J20" s="19" t="str">
        <f>IF('Test Patient'!B19="","",'Test Patient'!B19)</f>
        <v/>
      </c>
      <c r="K20" s="19" t="str">
        <f>IF('Test Patient'!D19="","",'Test Patient'!D19)</f>
        <v/>
      </c>
      <c r="L20" s="19" t="str">
        <f>IF('Test Patient 2'!B19="","",'Test Patient 2'!B19)</f>
        <v/>
      </c>
      <c r="M20" s="19" t="str">
        <f>IF('Test Patient 2'!C19="","",'Test Patient 2'!C19)</f>
        <v/>
      </c>
    </row>
    <row r="21" spans="1:13" ht="34.5" customHeight="1" x14ac:dyDescent="0.2">
      <c r="A21" s="2">
        <f>'Lucy Levene'!A20</f>
        <v>46226</v>
      </c>
      <c r="B21" s="19" t="s">
        <v>16</v>
      </c>
      <c r="C21" s="19" t="s">
        <v>14</v>
      </c>
      <c r="D21" s="19" t="str">
        <f>IF('Tom Bock'!B20="","",'Tom Bock'!B20)</f>
        <v/>
      </c>
      <c r="E21" s="19" t="str">
        <f>IF('Tom Bock'!D20="","",'Tom Bock'!D20)</f>
        <v/>
      </c>
      <c r="F21" s="62"/>
      <c r="G21" s="63"/>
      <c r="H21" s="19" t="str">
        <f>IF(Jeremy!B20="","",Jeremy!B20)</f>
        <v/>
      </c>
      <c r="I21" s="32" t="str">
        <f>IF(Jeremy!D20="","",Jeremy!D20)</f>
        <v/>
      </c>
      <c r="J21" s="19" t="str">
        <f>IF('Test Patient'!B20="","",'Test Patient'!B20)</f>
        <v/>
      </c>
      <c r="K21" s="19" t="str">
        <f>IF('Test Patient'!D20="","",'Test Patient'!D20)</f>
        <v/>
      </c>
      <c r="L21" s="19" t="str">
        <f>IF('Test Patient 2'!B20="","",'Test Patient 2'!B20)</f>
        <v/>
      </c>
      <c r="M21" s="19" t="str">
        <f>IF('Test Patient 2'!C20="","",'Test Patient 2'!C20)</f>
        <v/>
      </c>
    </row>
    <row r="22" spans="1:13" ht="34.5" customHeight="1" x14ac:dyDescent="0.2">
      <c r="A22" s="2">
        <f>'Lucy Levene'!A21</f>
        <v>46227</v>
      </c>
      <c r="B22" s="19" t="s">
        <v>13</v>
      </c>
      <c r="C22" s="19" t="s">
        <v>14</v>
      </c>
      <c r="D22" s="19" t="str">
        <f>IF('Tom Bock'!B21="","",'Tom Bock'!B21)</f>
        <v/>
      </c>
      <c r="E22" s="19" t="str">
        <f>IF('Tom Bock'!D21="","",'Tom Bock'!D21)</f>
        <v/>
      </c>
      <c r="F22" s="62"/>
      <c r="G22" s="63"/>
      <c r="H22" s="19" t="str">
        <f>IF(Jeremy!B21="","",Jeremy!B21)</f>
        <v/>
      </c>
      <c r="I22" s="32" t="str">
        <f>IF(Jeremy!D21="","",Jeremy!D21)</f>
        <v/>
      </c>
      <c r="J22" s="19" t="str">
        <f>IF('Test Patient'!B21="","",'Test Patient'!B21)</f>
        <v/>
      </c>
      <c r="K22" s="19" t="str">
        <f>IF('Test Patient'!D21="","",'Test Patient'!D21)</f>
        <v/>
      </c>
      <c r="L22" s="19" t="str">
        <f>IF('Test Patient 2'!B21="","",'Test Patient 2'!B21)</f>
        <v/>
      </c>
      <c r="M22" s="19" t="str">
        <f>IF('Test Patient 2'!C21="","",'Test Patient 2'!C21)</f>
        <v/>
      </c>
    </row>
    <row r="23" spans="1:13" ht="34.5" customHeight="1" x14ac:dyDescent="0.2">
      <c r="A23" s="2">
        <f>'Lucy Levene'!A22</f>
        <v>46228</v>
      </c>
      <c r="B23" s="19" t="s">
        <v>14</v>
      </c>
      <c r="C23" s="19" t="s">
        <v>13</v>
      </c>
      <c r="D23" s="19" t="str">
        <f>IF('Tom Bock'!B22="","",'Tom Bock'!B22)</f>
        <v/>
      </c>
      <c r="E23" s="19" t="str">
        <f>IF('Tom Bock'!D22="","",'Tom Bock'!D22)</f>
        <v/>
      </c>
      <c r="F23" s="62"/>
      <c r="G23" s="63"/>
      <c r="H23" s="19" t="str">
        <f>IF(Jeremy!B22="","",Jeremy!B22)</f>
        <v/>
      </c>
      <c r="I23" s="32" t="str">
        <f>IF(Jeremy!D22="","",Jeremy!D22)</f>
        <v/>
      </c>
      <c r="J23" s="19" t="str">
        <f>IF('Test Patient'!B22="","",'Test Patient'!B22)</f>
        <v/>
      </c>
      <c r="K23" s="19" t="str">
        <f>IF('Test Patient'!D22="","",'Test Patient'!D22)</f>
        <v/>
      </c>
      <c r="L23" s="19" t="str">
        <f>IF('Test Patient 2'!B22="","",'Test Patient 2'!B22)</f>
        <v/>
      </c>
      <c r="M23" s="19" t="str">
        <f>IF('Test Patient 2'!C22="","",'Test Patient 2'!C22)</f>
        <v/>
      </c>
    </row>
    <row r="24" spans="1:13" ht="34.5" customHeight="1" x14ac:dyDescent="0.2">
      <c r="A24" s="2">
        <f>'Lucy Levene'!A23</f>
        <v>46229</v>
      </c>
      <c r="B24" s="19" t="s">
        <v>17</v>
      </c>
      <c r="C24" s="19" t="s">
        <v>17</v>
      </c>
      <c r="D24" s="19" t="str">
        <f>IF('Tom Bock'!B23="","",'Tom Bock'!B23)</f>
        <v/>
      </c>
      <c r="E24" s="19" t="str">
        <f>IF('Tom Bock'!D23="","",'Tom Bock'!D23)</f>
        <v/>
      </c>
      <c r="F24" s="62"/>
      <c r="G24" s="63"/>
      <c r="H24" s="19" t="str">
        <f>IF(Jeremy!B23="","",Jeremy!B23)</f>
        <v/>
      </c>
      <c r="I24" s="32" t="str">
        <f>IF(Jeremy!D23="","",Jeremy!D23)</f>
        <v/>
      </c>
      <c r="J24" s="19" t="str">
        <f>IF('Test Patient'!B23="","",'Test Patient'!B23)</f>
        <v/>
      </c>
      <c r="K24" s="19" t="str">
        <f>IF('Test Patient'!D23="","",'Test Patient'!D23)</f>
        <v/>
      </c>
      <c r="L24" s="19" t="str">
        <f>IF('Test Patient 2'!B23="","",'Test Patient 2'!B23)</f>
        <v/>
      </c>
      <c r="M24" s="19" t="str">
        <f>IF('Test Patient 2'!C23="","",'Test Patient 2'!C23)</f>
        <v/>
      </c>
    </row>
    <row r="25" spans="1:13" ht="34.5" customHeight="1" x14ac:dyDescent="0.2">
      <c r="A25" s="2">
        <f>'Lucy Levene'!A24</f>
        <v>46230</v>
      </c>
      <c r="B25" s="19" t="s">
        <v>13</v>
      </c>
      <c r="C25" s="19" t="s">
        <v>14</v>
      </c>
      <c r="D25" s="19" t="str">
        <f>IF('Tom Bock'!B24="","",'Tom Bock'!B24)</f>
        <v/>
      </c>
      <c r="E25" s="19" t="str">
        <f>IF('Tom Bock'!D24="","",'Tom Bock'!D24)</f>
        <v/>
      </c>
      <c r="F25" s="62"/>
      <c r="G25" s="63"/>
      <c r="H25" s="19" t="str">
        <f>IF(Jeremy!B24="","",Jeremy!B24)</f>
        <v/>
      </c>
      <c r="I25" s="32" t="str">
        <f>IF(Jeremy!D24="","",Jeremy!D24)</f>
        <v/>
      </c>
      <c r="J25" s="19" t="str">
        <f>IF('Test Patient'!B24="","",'Test Patient'!B24)</f>
        <v/>
      </c>
      <c r="K25" s="19" t="str">
        <f>IF('Test Patient'!D24="","",'Test Patient'!D24)</f>
        <v/>
      </c>
      <c r="L25" s="19" t="str">
        <f>IF('Test Patient 2'!B24="","",'Test Patient 2'!B24)</f>
        <v/>
      </c>
      <c r="M25" s="19" t="str">
        <f>IF('Test Patient 2'!C24="","",'Test Patient 2'!C24)</f>
        <v/>
      </c>
    </row>
    <row r="26" spans="1:13" ht="34.5" customHeight="1" x14ac:dyDescent="0.2">
      <c r="A26" s="2">
        <f>'Lucy Levene'!A25</f>
        <v>46231</v>
      </c>
      <c r="B26" s="19" t="s">
        <v>16</v>
      </c>
      <c r="C26" s="19" t="s">
        <v>16</v>
      </c>
      <c r="D26" s="19" t="str">
        <f>IF('Tom Bock'!B25="","",'Tom Bock'!B25)</f>
        <v/>
      </c>
      <c r="E26" s="19" t="str">
        <f>IF('Tom Bock'!D25="","",'Tom Bock'!D25)</f>
        <v/>
      </c>
      <c r="F26" s="62"/>
      <c r="G26" s="63"/>
      <c r="H26" s="19" t="str">
        <f>IF(Jeremy!B25="","",Jeremy!B25)</f>
        <v/>
      </c>
      <c r="I26" s="32" t="str">
        <f>IF(Jeremy!D25="","",Jeremy!D25)</f>
        <v/>
      </c>
      <c r="J26" s="19" t="str">
        <f>IF('Test Patient'!B25="","",'Test Patient'!B25)</f>
        <v/>
      </c>
      <c r="K26" s="19" t="str">
        <f>IF('Test Patient'!D25="","",'Test Patient'!D25)</f>
        <v/>
      </c>
      <c r="L26" s="19" t="str">
        <f>IF('Test Patient 2'!B25="","",'Test Patient 2'!B25)</f>
        <v/>
      </c>
      <c r="M26" s="19" t="str">
        <f>IF('Test Patient 2'!C25="","",'Test Patient 2'!C25)</f>
        <v/>
      </c>
    </row>
    <row r="27" spans="1:13" ht="34.5" customHeight="1" x14ac:dyDescent="0.2">
      <c r="A27" s="2">
        <f>'Lucy Levene'!A26</f>
        <v>46232</v>
      </c>
      <c r="B27" s="19" t="s">
        <v>13</v>
      </c>
      <c r="C27" s="19" t="s">
        <v>13</v>
      </c>
      <c r="D27" s="19" t="str">
        <f>IF('Tom Bock'!B26="","",'Tom Bock'!B26)</f>
        <v/>
      </c>
      <c r="E27" s="19" t="str">
        <f>IF('Tom Bock'!D26="","",'Tom Bock'!D26)</f>
        <v/>
      </c>
      <c r="F27" s="62"/>
      <c r="G27" s="63"/>
      <c r="H27" s="19" t="str">
        <f>IF(Jeremy!B26="","",Jeremy!B26)</f>
        <v/>
      </c>
      <c r="I27" s="32" t="str">
        <f>IF(Jeremy!D26="","",Jeremy!D26)</f>
        <v/>
      </c>
      <c r="J27" s="19" t="str">
        <f>IF('Test Patient'!B26="","",'Test Patient'!B26)</f>
        <v/>
      </c>
      <c r="K27" s="19" t="str">
        <f>IF('Test Patient'!D26="","",'Test Patient'!D26)</f>
        <v/>
      </c>
      <c r="L27" s="19" t="str">
        <f>IF('Test Patient 2'!B26="","",'Test Patient 2'!B26)</f>
        <v/>
      </c>
      <c r="M27" s="19" t="str">
        <f>IF('Test Patient 2'!C26="","",'Test Patient 2'!C26)</f>
        <v/>
      </c>
    </row>
    <row r="28" spans="1:13" ht="34.5" customHeight="1" x14ac:dyDescent="0.2">
      <c r="A28" s="2">
        <f>'Lucy Levene'!A27</f>
        <v>46233</v>
      </c>
      <c r="B28" s="19" t="s">
        <v>14</v>
      </c>
      <c r="C28" s="19" t="s">
        <v>14</v>
      </c>
      <c r="D28" s="19" t="str">
        <f>IF('Tom Bock'!B27="","",'Tom Bock'!B27)</f>
        <v/>
      </c>
      <c r="E28" s="19" t="str">
        <f>IF('Tom Bock'!D27="","",'Tom Bock'!D27)</f>
        <v/>
      </c>
      <c r="F28" s="62"/>
      <c r="G28" s="63"/>
      <c r="H28" s="19" t="str">
        <f>IF(Jeremy!B27="","",Jeremy!B27)</f>
        <v/>
      </c>
      <c r="I28" s="32" t="str">
        <f>IF(Jeremy!D27="","",Jeremy!D27)</f>
        <v/>
      </c>
      <c r="J28" s="19" t="str">
        <f>IF('Test Patient'!B27="","",'Test Patient'!B27)</f>
        <v/>
      </c>
      <c r="K28" s="19" t="str">
        <f>IF('Test Patient'!D27="","",'Test Patient'!D27)</f>
        <v/>
      </c>
      <c r="L28" s="19" t="str">
        <f>IF('Test Patient 2'!B27="","",'Test Patient 2'!B27)</f>
        <v/>
      </c>
      <c r="M28" s="19" t="str">
        <f>IF('Test Patient 2'!C27="","",'Test Patient 2'!C27)</f>
        <v/>
      </c>
    </row>
    <row r="29" spans="1:13" ht="34.5" customHeight="1" x14ac:dyDescent="0.2">
      <c r="A29" s="2">
        <f>'Lucy Levene'!A28</f>
        <v>46234</v>
      </c>
      <c r="B29" s="19" t="s">
        <v>14</v>
      </c>
      <c r="C29" s="19" t="s">
        <v>16</v>
      </c>
      <c r="D29" s="19" t="str">
        <f>IF('Tom Bock'!B28="","",'Tom Bock'!B28)</f>
        <v/>
      </c>
      <c r="E29" s="19" t="str">
        <f>IF('Tom Bock'!D28="","",'Tom Bock'!D28)</f>
        <v/>
      </c>
      <c r="F29" s="62"/>
      <c r="G29" s="63"/>
      <c r="H29" s="19" t="str">
        <f>IF(Jeremy!B28="","",Jeremy!B28)</f>
        <v/>
      </c>
      <c r="I29" s="32" t="str">
        <f>IF(Jeremy!D28="","",Jeremy!D28)</f>
        <v/>
      </c>
      <c r="J29" s="19" t="str">
        <f>IF('Test Patient'!B28="","",'Test Patient'!B28)</f>
        <v/>
      </c>
      <c r="K29" s="19" t="str">
        <f>IF('Test Patient'!D28="","",'Test Patient'!D28)</f>
        <v/>
      </c>
      <c r="L29" s="19" t="str">
        <f>IF('Test Patient 2'!B28="","",'Test Patient 2'!B28)</f>
        <v/>
      </c>
      <c r="M29" s="19" t="str">
        <f>IF('Test Patient 2'!C28="","",'Test Patient 2'!C28)</f>
        <v/>
      </c>
    </row>
    <row r="30" spans="1:13" ht="34.5" customHeight="1" x14ac:dyDescent="0.2">
      <c r="A30" s="2">
        <f>'Lucy Levene'!A29</f>
        <v>46235</v>
      </c>
      <c r="B30" s="19" t="s">
        <v>16</v>
      </c>
      <c r="C30" s="19" t="s">
        <v>14</v>
      </c>
      <c r="D30" s="19" t="str">
        <f>IF('Tom Bock'!B29="","",'Tom Bock'!B29)</f>
        <v/>
      </c>
      <c r="E30" s="19" t="str">
        <f>IF('Tom Bock'!D29="","",'Tom Bock'!D29)</f>
        <v/>
      </c>
      <c r="F30" s="64"/>
      <c r="G30" s="65"/>
      <c r="H30" s="19" t="str">
        <f>IF(Jeremy!B29="","",Jeremy!B29)</f>
        <v/>
      </c>
      <c r="I30" s="32" t="str">
        <f>IF(Jeremy!D29="","",Jeremy!D29)</f>
        <v/>
      </c>
      <c r="J30" s="19" t="str">
        <f>IF('Test Patient'!B29="","",'Test Patient'!B29)</f>
        <v/>
      </c>
      <c r="K30" s="19" t="str">
        <f>IF('Test Patient'!D29="","",'Test Patient'!D29)</f>
        <v/>
      </c>
      <c r="L30" s="19" t="str">
        <f>IF('Test Patient 2'!B29="","",'Test Patient 2'!B29)</f>
        <v/>
      </c>
      <c r="M30" s="19" t="str">
        <f>IF('Test Patient 2'!C29="","",'Test Patient 2'!C29)</f>
        <v/>
      </c>
    </row>
    <row r="31" spans="1:13" ht="34.5" customHeight="1" x14ac:dyDescent="0.2">
      <c r="A31" s="2">
        <f>'Lucy Levene'!A30</f>
        <v>46236</v>
      </c>
      <c r="B31" s="19" t="s">
        <v>17</v>
      </c>
      <c r="C31" s="19" t="s">
        <v>17</v>
      </c>
      <c r="D31" s="19" t="str">
        <f>IF('Tom Bock'!B30="","",'Tom Bock'!B30)</f>
        <v/>
      </c>
      <c r="E31" s="19" t="str">
        <f>IF('Tom Bock'!D30="","",'Tom Bock'!D30)</f>
        <v/>
      </c>
      <c r="F31" s="19" t="str">
        <f>IF('Anita Klesch'!B30="","",'Anita Klesch'!B30)</f>
        <v/>
      </c>
      <c r="G31" s="19"/>
      <c r="H31" s="19" t="str">
        <f>IF(Jeremy!B30="","",Jeremy!B30)</f>
        <v/>
      </c>
      <c r="I31" s="32" t="str">
        <f>IF(Jeremy!D30="","",Jeremy!D30)</f>
        <v/>
      </c>
      <c r="J31" s="19" t="str">
        <f>IF('Test Patient'!B30="","",'Test Patient'!B30)</f>
        <v/>
      </c>
      <c r="K31" s="19" t="str">
        <f>IF('Test Patient'!D30="","",'Test Patient'!D30)</f>
        <v/>
      </c>
      <c r="L31" s="19" t="str">
        <f>IF('Test Patient 2'!B30="","",'Test Patient 2'!B30)</f>
        <v/>
      </c>
      <c r="M31" s="19" t="str">
        <f>IF('Test Patient 2'!C30="","",'Test Patient 2'!C30)</f>
        <v/>
      </c>
    </row>
    <row r="32" spans="1:13" ht="34.5" customHeight="1" x14ac:dyDescent="0.2">
      <c r="A32" s="2">
        <f>'Lucy Levene'!A31</f>
        <v>46237</v>
      </c>
      <c r="B32" s="19" t="str">
        <f>IF('Lucy Levene'!B31="","",'Lucy Levene'!B31)</f>
        <v/>
      </c>
      <c r="C32" s="19" t="str">
        <f>IF('Lucy Levene'!D31="","",'Lucy Levene'!D31)</f>
        <v/>
      </c>
      <c r="D32" s="19" t="str">
        <f>IF('Tom Bock'!B31="","",'Tom Bock'!B31)</f>
        <v/>
      </c>
      <c r="E32" s="19" t="str">
        <f>IF('Tom Bock'!D31="","",'Tom Bock'!D31)</f>
        <v/>
      </c>
      <c r="F32" s="19" t="str">
        <f>IF('Anita Klesch'!B31="","",'Anita Klesch'!B31)</f>
        <v/>
      </c>
      <c r="G32" s="19" t="str">
        <f>IF('Anita Klesch'!C31="","",'Anita Klesch'!C31)</f>
        <v/>
      </c>
      <c r="H32" s="19" t="str">
        <f>IF(Jeremy!B31="","",Jeremy!B31)</f>
        <v/>
      </c>
      <c r="I32" s="32" t="str">
        <f>IF(Jeremy!D31="","",Jeremy!D31)</f>
        <v/>
      </c>
      <c r="J32" s="19" t="str">
        <f>IF('Test Patient'!B31="","",'Test Patient'!B31)</f>
        <v/>
      </c>
      <c r="K32" s="19" t="str">
        <f>IF('Test Patient'!D31="","",'Test Patient'!D31)</f>
        <v/>
      </c>
      <c r="L32" s="19" t="str">
        <f>IF('Test Patient 2'!B31="","",'Test Patient 2'!B31)</f>
        <v/>
      </c>
      <c r="M32" s="19" t="str">
        <f>IF('Test Patient 2'!C31="","",'Test Patient 2'!C31)</f>
        <v/>
      </c>
    </row>
    <row r="33" spans="1:13" ht="34.5" customHeight="1" x14ac:dyDescent="0.2">
      <c r="A33" s="2">
        <f>'Lucy Levene'!A32</f>
        <v>46238</v>
      </c>
      <c r="B33" s="19" t="str">
        <f>IF('Lucy Levene'!B32="","",'Lucy Levene'!B32)</f>
        <v/>
      </c>
      <c r="C33" s="19" t="str">
        <f>IF('Lucy Levene'!D32="","",'Lucy Levene'!D32)</f>
        <v/>
      </c>
      <c r="D33" s="19" t="str">
        <f>IF('Tom Bock'!B32="","",'Tom Bock'!B32)</f>
        <v/>
      </c>
      <c r="E33" s="19" t="str">
        <f>IF('Tom Bock'!D32="","",'Tom Bock'!D32)</f>
        <v/>
      </c>
      <c r="F33" s="19" t="str">
        <f>IF('Anita Klesch'!B32="","",'Anita Klesch'!B32)</f>
        <v/>
      </c>
      <c r="G33" s="19" t="str">
        <f>IF('Anita Klesch'!C32="","",'Anita Klesch'!C32)</f>
        <v/>
      </c>
      <c r="H33" s="19" t="str">
        <f>IF(Jeremy!B32="","",Jeremy!B32)</f>
        <v/>
      </c>
      <c r="I33" s="32" t="str">
        <f>IF(Jeremy!D32="","",Jeremy!D32)</f>
        <v/>
      </c>
      <c r="J33" s="19" t="str">
        <f>IF('Test Patient'!B32="","",'Test Patient'!B32)</f>
        <v/>
      </c>
      <c r="K33" s="19" t="str">
        <f>IF('Test Patient'!D32="","",'Test Patient'!D32)</f>
        <v/>
      </c>
      <c r="L33" s="19" t="str">
        <f>IF('Test Patient 2'!B32="","",'Test Patient 2'!B32)</f>
        <v/>
      </c>
      <c r="M33" s="19" t="str">
        <f>IF('Test Patient 2'!C32="","",'Test Patient 2'!C32)</f>
        <v/>
      </c>
    </row>
    <row r="34" spans="1:13" ht="34.5" customHeight="1" x14ac:dyDescent="0.2">
      <c r="A34" s="2">
        <f>'Lucy Levene'!A33</f>
        <v>46239</v>
      </c>
      <c r="B34" s="19" t="str">
        <f>IF('Lucy Levene'!B33="","",'Lucy Levene'!B33)</f>
        <v/>
      </c>
      <c r="C34" s="19" t="str">
        <f>IF('Lucy Levene'!D33="","",'Lucy Levene'!D33)</f>
        <v/>
      </c>
      <c r="D34" s="19" t="str">
        <f>IF('Tom Bock'!B33="","",'Tom Bock'!B33)</f>
        <v/>
      </c>
      <c r="E34" s="19" t="str">
        <f>IF('Tom Bock'!D33="","",'Tom Bock'!D33)</f>
        <v/>
      </c>
      <c r="F34" s="19" t="str">
        <f>IF('Anita Klesch'!B33="","",'Anita Klesch'!B33)</f>
        <v/>
      </c>
      <c r="G34" s="19" t="str">
        <f>IF('Anita Klesch'!C33="","",'Anita Klesch'!C33)</f>
        <v/>
      </c>
      <c r="H34" s="19" t="str">
        <f>IF(Jeremy!B33="","",Jeremy!B33)</f>
        <v/>
      </c>
      <c r="I34" s="32" t="str">
        <f>IF(Jeremy!D33="","",Jeremy!D33)</f>
        <v/>
      </c>
      <c r="J34" s="19" t="str">
        <f>IF('Test Patient'!B33="","",'Test Patient'!B33)</f>
        <v/>
      </c>
      <c r="K34" s="19" t="str">
        <f>IF('Test Patient'!D33="","",'Test Patient'!D33)</f>
        <v/>
      </c>
      <c r="L34" s="19" t="str">
        <f>IF('Test Patient 2'!B33="","",'Test Patient 2'!B33)</f>
        <v/>
      </c>
      <c r="M34" s="19" t="str">
        <f>IF('Test Patient 2'!C33="","",'Test Patient 2'!C33)</f>
        <v/>
      </c>
    </row>
    <row r="35" spans="1:13" ht="34.5" customHeight="1" x14ac:dyDescent="0.2">
      <c r="A35" s="2">
        <f>'Lucy Levene'!A34</f>
        <v>46240</v>
      </c>
      <c r="B35" s="19" t="str">
        <f>IF('Lucy Levene'!B34="","",'Lucy Levene'!B34)</f>
        <v/>
      </c>
      <c r="C35" s="19" t="str">
        <f>IF('Lucy Levene'!D34="","",'Lucy Levene'!D34)</f>
        <v/>
      </c>
      <c r="D35" s="19" t="str">
        <f>IF('Tom Bock'!B34="","",'Tom Bock'!B34)</f>
        <v/>
      </c>
      <c r="E35" s="19" t="str">
        <f>IF('Tom Bock'!D34="","",'Tom Bock'!D34)</f>
        <v/>
      </c>
      <c r="F35" s="19" t="str">
        <f>IF('Anita Klesch'!B34="","",'Anita Klesch'!B34)</f>
        <v/>
      </c>
      <c r="G35" s="19" t="str">
        <f>IF('Anita Klesch'!C34="","",'Anita Klesch'!C34)</f>
        <v/>
      </c>
      <c r="H35" s="19" t="str">
        <f>IF(Jeremy!B34="","",Jeremy!B34)</f>
        <v/>
      </c>
      <c r="I35" s="32" t="str">
        <f>IF(Jeremy!D34="","",Jeremy!D34)</f>
        <v/>
      </c>
      <c r="J35" s="19" t="str">
        <f>IF('Test Patient'!B34="","",'Test Patient'!B34)</f>
        <v/>
      </c>
      <c r="K35" s="19" t="str">
        <f>IF('Test Patient'!D34="","",'Test Patient'!D34)</f>
        <v/>
      </c>
      <c r="L35" s="19" t="str">
        <f>IF('Test Patient 2'!B34="","",'Test Patient 2'!B34)</f>
        <v/>
      </c>
      <c r="M35" s="19" t="str">
        <f>IF('Test Patient 2'!C34="","",'Test Patient 2'!C34)</f>
        <v/>
      </c>
    </row>
    <row r="36" spans="1:13" ht="34.5" customHeight="1" x14ac:dyDescent="0.2">
      <c r="A36" s="2">
        <f>'Lucy Levene'!A35</f>
        <v>46241</v>
      </c>
      <c r="B36" s="19" t="str">
        <f>IF('Lucy Levene'!B35="","",'Lucy Levene'!B35)</f>
        <v/>
      </c>
      <c r="C36" s="19" t="str">
        <f>IF('Lucy Levene'!D35="","",'Lucy Levene'!D35)</f>
        <v/>
      </c>
      <c r="D36" s="19" t="str">
        <f>IF('Tom Bock'!B35="","",'Tom Bock'!B35)</f>
        <v/>
      </c>
      <c r="E36" s="19" t="str">
        <f>IF('Tom Bock'!D35="","",'Tom Bock'!D35)</f>
        <v/>
      </c>
      <c r="F36" s="19" t="str">
        <f>IF('Anita Klesch'!B35="","",'Anita Klesch'!B35)</f>
        <v/>
      </c>
      <c r="G36" s="19" t="str">
        <f>IF('Anita Klesch'!C35="","",'Anita Klesch'!C35)</f>
        <v/>
      </c>
      <c r="H36" s="19" t="str">
        <f>IF(Jeremy!B35="","",Jeremy!B35)</f>
        <v/>
      </c>
      <c r="I36" s="32" t="str">
        <f>IF(Jeremy!D35="","",Jeremy!D35)</f>
        <v/>
      </c>
      <c r="J36" s="19" t="str">
        <f>IF('Test Patient'!B35="","",'Test Patient'!B35)</f>
        <v/>
      </c>
      <c r="K36" s="19" t="str">
        <f>IF('Test Patient'!D35="","",'Test Patient'!D35)</f>
        <v/>
      </c>
      <c r="L36" s="19" t="str">
        <f>IF('Test Patient 2'!B35="","",'Test Patient 2'!B35)</f>
        <v/>
      </c>
      <c r="M36" s="19" t="str">
        <f>IF('Test Patient 2'!C35="","",'Test Patient 2'!C35)</f>
        <v/>
      </c>
    </row>
    <row r="37" spans="1:13" ht="34.5" customHeight="1" x14ac:dyDescent="0.2">
      <c r="A37" s="2">
        <f>'Lucy Levene'!A36</f>
        <v>46242</v>
      </c>
      <c r="B37" s="19" t="str">
        <f>IF('Lucy Levene'!B36="","",'Lucy Levene'!B36)</f>
        <v/>
      </c>
      <c r="C37" s="19" t="str">
        <f>IF('Lucy Levene'!D36="","",'Lucy Levene'!D36)</f>
        <v/>
      </c>
      <c r="D37" s="19" t="str">
        <f>IF('Tom Bock'!B36="","",'Tom Bock'!B36)</f>
        <v/>
      </c>
      <c r="E37" s="19" t="str">
        <f>IF('Tom Bock'!D36="","",'Tom Bock'!D36)</f>
        <v/>
      </c>
      <c r="F37" s="19" t="str">
        <f>IF('Anita Klesch'!B36="","",'Anita Klesch'!B36)</f>
        <v/>
      </c>
      <c r="G37" s="19" t="str">
        <f>IF('Anita Klesch'!C36="","",'Anita Klesch'!C36)</f>
        <v/>
      </c>
      <c r="H37" s="19" t="str">
        <f>IF(Jeremy!B36="","",Jeremy!B36)</f>
        <v/>
      </c>
      <c r="I37" s="32" t="str">
        <f>IF(Jeremy!D36="","",Jeremy!D36)</f>
        <v/>
      </c>
      <c r="J37" s="19" t="str">
        <f>IF('Test Patient'!B36="","",'Test Patient'!B36)</f>
        <v/>
      </c>
      <c r="K37" s="19" t="str">
        <f>IF('Test Patient'!D36="","",'Test Patient'!D36)</f>
        <v/>
      </c>
      <c r="L37" s="19" t="str">
        <f>IF('Test Patient 2'!B36="","",'Test Patient 2'!B36)</f>
        <v/>
      </c>
      <c r="M37" s="19" t="str">
        <f>IF('Test Patient 2'!C36="","",'Test Patient 2'!C36)</f>
        <v/>
      </c>
    </row>
    <row r="38" spans="1:13" ht="34.5" customHeight="1" x14ac:dyDescent="0.2">
      <c r="A38" s="2">
        <f>'Lucy Levene'!A37</f>
        <v>46243</v>
      </c>
      <c r="B38" s="19" t="str">
        <f>IF('Lucy Levene'!B37="","",'Lucy Levene'!B37)</f>
        <v/>
      </c>
      <c r="C38" s="19" t="str">
        <f>IF('Lucy Levene'!D37="","",'Lucy Levene'!D37)</f>
        <v/>
      </c>
      <c r="D38" s="19" t="str">
        <f>IF('Tom Bock'!B37="","",'Tom Bock'!B37)</f>
        <v/>
      </c>
      <c r="E38" s="19" t="str">
        <f>IF('Tom Bock'!D37="","",'Tom Bock'!D37)</f>
        <v/>
      </c>
      <c r="F38" s="19" t="str">
        <f>IF('Anita Klesch'!B37="","",'Anita Klesch'!B37)</f>
        <v/>
      </c>
      <c r="G38" s="19" t="str">
        <f>IF('Anita Klesch'!C37="","",'Anita Klesch'!C37)</f>
        <v/>
      </c>
      <c r="H38" s="19" t="str">
        <f>IF(Jeremy!B37="","",Jeremy!B37)</f>
        <v/>
      </c>
      <c r="I38" s="32" t="str">
        <f>IF(Jeremy!D37="","",Jeremy!D37)</f>
        <v/>
      </c>
      <c r="J38" s="19" t="str">
        <f>IF('Test Patient'!B37="","",'Test Patient'!B37)</f>
        <v/>
      </c>
      <c r="K38" s="19" t="str">
        <f>IF('Test Patient'!D37="","",'Test Patient'!D37)</f>
        <v/>
      </c>
      <c r="L38" s="19" t="str">
        <f>IF('Test Patient 2'!B37="","",'Test Patient 2'!B37)</f>
        <v/>
      </c>
      <c r="M38" s="19" t="str">
        <f>IF('Test Patient 2'!C37="","",'Test Patient 2'!C37)</f>
        <v/>
      </c>
    </row>
    <row r="39" spans="1:13" ht="34.5" customHeight="1" x14ac:dyDescent="0.2">
      <c r="A39" s="2">
        <f>'Lucy Levene'!A38</f>
        <v>46244</v>
      </c>
      <c r="B39" s="19" t="str">
        <f>IF('Lucy Levene'!B38="","",'Lucy Levene'!B38)</f>
        <v/>
      </c>
      <c r="C39" s="19" t="str">
        <f>IF('Lucy Levene'!D38="","",'Lucy Levene'!D38)</f>
        <v/>
      </c>
      <c r="D39" s="19" t="str">
        <f>IF('Tom Bock'!B38="","",'Tom Bock'!B38)</f>
        <v/>
      </c>
      <c r="E39" s="19" t="str">
        <f>IF('Tom Bock'!D38="","",'Tom Bock'!D38)</f>
        <v/>
      </c>
      <c r="F39" s="19" t="str">
        <f>IF('Anita Klesch'!B38="","",'Anita Klesch'!B38)</f>
        <v/>
      </c>
      <c r="G39" s="19" t="str">
        <f>IF('Anita Klesch'!C38="","",'Anita Klesch'!C38)</f>
        <v/>
      </c>
      <c r="H39" s="19" t="str">
        <f>IF(Jeremy!B38="","",Jeremy!B38)</f>
        <v/>
      </c>
      <c r="I39" s="32" t="str">
        <f>IF(Jeremy!D38="","",Jeremy!D38)</f>
        <v/>
      </c>
      <c r="J39" s="19" t="str">
        <f>IF('Test Patient'!B38="","",'Test Patient'!B38)</f>
        <v/>
      </c>
      <c r="K39" s="19" t="str">
        <f>IF('Test Patient'!D38="","",'Test Patient'!D38)</f>
        <v/>
      </c>
      <c r="L39" s="19" t="str">
        <f>IF('Test Patient 2'!B38="","",'Test Patient 2'!B38)</f>
        <v/>
      </c>
      <c r="M39" s="19" t="str">
        <f>IF('Test Patient 2'!C38="","",'Test Patient 2'!C38)</f>
        <v/>
      </c>
    </row>
    <row r="40" spans="1:13" ht="34.5" customHeight="1" x14ac:dyDescent="0.2">
      <c r="A40" s="2">
        <f>'Lucy Levene'!A39</f>
        <v>46245</v>
      </c>
      <c r="B40" s="19" t="str">
        <f>IF('Lucy Levene'!B39="","",'Lucy Levene'!B39)</f>
        <v/>
      </c>
      <c r="C40" s="19" t="str">
        <f>IF('Lucy Levene'!D39="","",'Lucy Levene'!D39)</f>
        <v/>
      </c>
      <c r="D40" s="19" t="str">
        <f>IF('Tom Bock'!B39="","",'Tom Bock'!B39)</f>
        <v/>
      </c>
      <c r="E40" s="19" t="str">
        <f>IF('Tom Bock'!D39="","",'Tom Bock'!D39)</f>
        <v/>
      </c>
      <c r="F40" s="19" t="str">
        <f>IF('Anita Klesch'!B39="","",'Anita Klesch'!B39)</f>
        <v/>
      </c>
      <c r="G40" s="19" t="str">
        <f>IF('Anita Klesch'!C39="","",'Anita Klesch'!C39)</f>
        <v/>
      </c>
      <c r="H40" s="19" t="str">
        <f>IF(Jeremy!B39="","",Jeremy!B39)</f>
        <v/>
      </c>
      <c r="I40" s="32" t="str">
        <f>IF(Jeremy!D39="","",Jeremy!D39)</f>
        <v/>
      </c>
      <c r="J40" s="19" t="str">
        <f>IF('Test Patient'!B39="","",'Test Patient'!B39)</f>
        <v/>
      </c>
      <c r="K40" s="19" t="str">
        <f>IF('Test Patient'!D39="","",'Test Patient'!D39)</f>
        <v/>
      </c>
      <c r="L40" s="19" t="str">
        <f>IF('Test Patient 2'!B39="","",'Test Patient 2'!B39)</f>
        <v/>
      </c>
      <c r="M40" s="19" t="str">
        <f>IF('Test Patient 2'!C39="","",'Test Patient 2'!C39)</f>
        <v/>
      </c>
    </row>
    <row r="41" spans="1:13" ht="34.5" customHeight="1" x14ac:dyDescent="0.2">
      <c r="A41" s="2">
        <f>'Lucy Levene'!A40</f>
        <v>46246</v>
      </c>
      <c r="B41" s="19" t="str">
        <f>IF('Lucy Levene'!B40="","",'Lucy Levene'!B40)</f>
        <v/>
      </c>
      <c r="C41" s="19" t="str">
        <f>IF('Lucy Levene'!D40="","",'Lucy Levene'!D40)</f>
        <v/>
      </c>
      <c r="D41" s="19" t="str">
        <f>IF('Tom Bock'!B40="","",'Tom Bock'!B40)</f>
        <v/>
      </c>
      <c r="E41" s="19" t="str">
        <f>IF('Tom Bock'!D40="","",'Tom Bock'!D40)</f>
        <v/>
      </c>
      <c r="F41" s="19" t="str">
        <f>IF('Anita Klesch'!B40="","",'Anita Klesch'!B40)</f>
        <v/>
      </c>
      <c r="G41" s="19" t="str">
        <f>IF('Anita Klesch'!C40="","",'Anita Klesch'!C40)</f>
        <v/>
      </c>
      <c r="H41" s="19" t="str">
        <f>IF(Jeremy!B40="","",Jeremy!B40)</f>
        <v/>
      </c>
      <c r="I41" s="32" t="str">
        <f>IF(Jeremy!D40="","",Jeremy!D40)</f>
        <v/>
      </c>
      <c r="J41" s="19" t="str">
        <f>IF('Test Patient'!B40="","",'Test Patient'!B40)</f>
        <v/>
      </c>
      <c r="K41" s="19" t="str">
        <f>IF('Test Patient'!D40="","",'Test Patient'!D40)</f>
        <v/>
      </c>
      <c r="L41" s="19" t="str">
        <f>IF('Test Patient 2'!B40="","",'Test Patient 2'!B40)</f>
        <v/>
      </c>
      <c r="M41" s="19" t="str">
        <f>IF('Test Patient 2'!C40="","",'Test Patient 2'!C40)</f>
        <v/>
      </c>
    </row>
    <row r="42" spans="1:13" ht="34.5" customHeight="1" x14ac:dyDescent="0.2">
      <c r="A42" s="2">
        <f>'Lucy Levene'!A41</f>
        <v>46247</v>
      </c>
      <c r="B42" s="19" t="str">
        <f>IF('Lucy Levene'!B41="","",'Lucy Levene'!B41)</f>
        <v/>
      </c>
      <c r="C42" s="19" t="str">
        <f>IF('Lucy Levene'!D41="","",'Lucy Levene'!D41)</f>
        <v/>
      </c>
      <c r="D42" s="19" t="str">
        <f>IF('Tom Bock'!B41="","",'Tom Bock'!B41)</f>
        <v/>
      </c>
      <c r="E42" s="19" t="str">
        <f>IF('Tom Bock'!D41="","",'Tom Bock'!D41)</f>
        <v/>
      </c>
      <c r="F42" s="19" t="str">
        <f>IF('Anita Klesch'!B41="","",'Anita Klesch'!B41)</f>
        <v/>
      </c>
      <c r="G42" s="19" t="str">
        <f>IF('Anita Klesch'!C41="","",'Anita Klesch'!C41)</f>
        <v/>
      </c>
      <c r="H42" s="19" t="str">
        <f>IF(Jeremy!B41="","",Jeremy!B41)</f>
        <v/>
      </c>
      <c r="I42" s="32" t="str">
        <f>IF(Jeremy!D41="","",Jeremy!D41)</f>
        <v/>
      </c>
      <c r="J42" s="19" t="str">
        <f>IF('Test Patient'!B41="","",'Test Patient'!B41)</f>
        <v/>
      </c>
      <c r="K42" s="19" t="str">
        <f>IF('Test Patient'!D41="","",'Test Patient'!D41)</f>
        <v/>
      </c>
      <c r="L42" s="19" t="str">
        <f>IF('Test Patient 2'!B41="","",'Test Patient 2'!B41)</f>
        <v/>
      </c>
      <c r="M42" s="19" t="str">
        <f>IF('Test Patient 2'!C41="","",'Test Patient 2'!C41)</f>
        <v/>
      </c>
    </row>
    <row r="43" spans="1:13" ht="34.5" customHeight="1" x14ac:dyDescent="0.2">
      <c r="A43" s="2">
        <f>'Lucy Levene'!A42</f>
        <v>46248</v>
      </c>
      <c r="B43" s="19" t="str">
        <f>IF('Lucy Levene'!B42="","",'Lucy Levene'!B42)</f>
        <v/>
      </c>
      <c r="C43" s="19" t="str">
        <f>IF('Lucy Levene'!D42="","",'Lucy Levene'!D42)</f>
        <v/>
      </c>
      <c r="D43" s="19" t="str">
        <f>IF('Tom Bock'!B42="","",'Tom Bock'!B42)</f>
        <v/>
      </c>
      <c r="E43" s="19" t="str">
        <f>IF('Tom Bock'!D42="","",'Tom Bock'!D42)</f>
        <v/>
      </c>
      <c r="F43" s="19" t="str">
        <f>IF('Anita Klesch'!B42="","",'Anita Klesch'!B42)</f>
        <v/>
      </c>
      <c r="G43" s="19" t="str">
        <f>IF('Anita Klesch'!C42="","",'Anita Klesch'!C42)</f>
        <v/>
      </c>
      <c r="H43" s="19" t="str">
        <f>IF(Jeremy!B42="","",Jeremy!B42)</f>
        <v/>
      </c>
      <c r="I43" s="32" t="str">
        <f>IF(Jeremy!D42="","",Jeremy!D42)</f>
        <v/>
      </c>
      <c r="J43" s="19" t="str">
        <f>IF('Test Patient'!B42="","",'Test Patient'!B42)</f>
        <v/>
      </c>
      <c r="K43" s="19" t="str">
        <f>IF('Test Patient'!D42="","",'Test Patient'!D42)</f>
        <v/>
      </c>
      <c r="L43" s="19" t="str">
        <f>IF('Test Patient 2'!B42="","",'Test Patient 2'!B42)</f>
        <v/>
      </c>
      <c r="M43" s="19" t="str">
        <f>IF('Test Patient 2'!C42="","",'Test Patient 2'!C42)</f>
        <v/>
      </c>
    </row>
    <row r="46" spans="1:13" ht="17" x14ac:dyDescent="0.2">
      <c r="A46" s="52" t="s">
        <v>21</v>
      </c>
      <c r="B46" s="53"/>
      <c r="C46" s="53"/>
      <c r="D46" s="53"/>
      <c r="E46" s="53"/>
      <c r="F46" s="53"/>
      <c r="G46" s="53"/>
    </row>
    <row r="47" spans="1:13" ht="16" x14ac:dyDescent="0.2">
      <c r="A47" s="59" t="s">
        <v>22</v>
      </c>
      <c r="B47" s="53"/>
      <c r="C47" s="53"/>
      <c r="D47" s="53"/>
      <c r="E47" s="53"/>
      <c r="F47" s="53"/>
      <c r="G47" s="53"/>
    </row>
    <row r="48" spans="1:13" ht="16" x14ac:dyDescent="0.2">
      <c r="A48" s="55" t="s">
        <v>23</v>
      </c>
      <c r="B48" s="53"/>
      <c r="C48" s="53"/>
      <c r="D48" s="53"/>
      <c r="E48" s="53"/>
      <c r="F48" s="53"/>
      <c r="G48" s="53"/>
    </row>
    <row r="49" spans="1:7" ht="16" x14ac:dyDescent="0.2">
      <c r="A49" s="57" t="s">
        <v>24</v>
      </c>
      <c r="B49" s="53"/>
      <c r="C49" s="53"/>
      <c r="D49" s="53"/>
      <c r="E49" s="53"/>
      <c r="F49" s="53"/>
      <c r="G49" s="53"/>
    </row>
    <row r="50" spans="1:7" ht="16" x14ac:dyDescent="0.2">
      <c r="A50" s="49" t="s">
        <v>25</v>
      </c>
      <c r="B50" s="49"/>
      <c r="C50" s="49"/>
      <c r="D50" s="49"/>
      <c r="E50" s="49"/>
      <c r="F50" s="49"/>
      <c r="G50" s="49"/>
    </row>
    <row r="51" spans="1:7" ht="16" x14ac:dyDescent="0.2">
      <c r="A51" s="54" t="s">
        <v>26</v>
      </c>
      <c r="B51" s="53"/>
      <c r="C51" s="53"/>
      <c r="D51" s="53"/>
      <c r="E51" s="53"/>
      <c r="F51" s="53"/>
      <c r="G51" s="53"/>
    </row>
  </sheetData>
  <mergeCells count="16">
    <mergeCell ref="A50:G50"/>
    <mergeCell ref="F4:G4"/>
    <mergeCell ref="A4:A5"/>
    <mergeCell ref="A46:G46"/>
    <mergeCell ref="A51:G51"/>
    <mergeCell ref="A48:G48"/>
    <mergeCell ref="D4:E4"/>
    <mergeCell ref="A49:G49"/>
    <mergeCell ref="B4:C4"/>
    <mergeCell ref="A47:G47"/>
    <mergeCell ref="F19:G30"/>
    <mergeCell ref="A1:M1"/>
    <mergeCell ref="A2:M2"/>
    <mergeCell ref="J4:K4"/>
    <mergeCell ref="L4:M4"/>
    <mergeCell ref="H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B3AB-F2AE-4478-AA58-AC41E8F34110}">
  <sheetPr>
    <tabColor rgb="FF1F4E78"/>
  </sheetPr>
  <dimension ref="A1:L37"/>
  <sheetViews>
    <sheetView tabSelected="1" workbookViewId="0">
      <selection activeCell="D14" sqref="D14"/>
    </sheetView>
  </sheetViews>
  <sheetFormatPr baseColWidth="10" defaultColWidth="8.83203125" defaultRowHeight="15" outlineLevelCol="1" x14ac:dyDescent="0.2"/>
  <cols>
    <col min="1" max="1" width="24.5" customWidth="1"/>
    <col min="2" max="2" width="11.33203125" customWidth="1"/>
    <col min="3" max="3" width="6.83203125" style="35" customWidth="1"/>
    <col min="4" max="4" width="16.5" customWidth="1"/>
    <col min="5" max="5" width="29.5" customWidth="1"/>
    <col min="6" max="6" width="18.1640625" customWidth="1"/>
    <col min="7" max="8" width="14.33203125" customWidth="1"/>
    <col min="11" max="11" width="11.83203125" customWidth="1" outlineLevel="1"/>
  </cols>
  <sheetData>
    <row r="1" spans="1:12" ht="24" x14ac:dyDescent="0.3">
      <c r="A1" s="67" t="s">
        <v>27</v>
      </c>
      <c r="B1" s="40"/>
      <c r="C1" s="40"/>
      <c r="D1" s="40"/>
      <c r="E1" s="40"/>
      <c r="F1" s="40"/>
      <c r="G1" s="40"/>
      <c r="H1" s="40"/>
      <c r="I1" s="66"/>
      <c r="J1" s="66"/>
      <c r="K1" s="66"/>
      <c r="L1" s="66"/>
    </row>
    <row r="2" spans="1:12" x14ac:dyDescent="0.2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ht="16" x14ac:dyDescent="0.2">
      <c r="A3" s="8" t="s">
        <v>28</v>
      </c>
      <c r="C3" s="68"/>
      <c r="D3" s="8" t="s">
        <v>29</v>
      </c>
      <c r="E3" s="66"/>
      <c r="F3" s="8" t="s">
        <v>30</v>
      </c>
      <c r="I3" s="66"/>
      <c r="J3" s="66"/>
      <c r="K3" s="66"/>
      <c r="L3" s="66"/>
    </row>
    <row r="4" spans="1:12" x14ac:dyDescent="0.2">
      <c r="A4" s="7" t="s">
        <v>31</v>
      </c>
      <c r="B4" s="9">
        <v>2</v>
      </c>
      <c r="C4" s="68"/>
      <c r="D4" s="33" t="s">
        <v>13</v>
      </c>
      <c r="E4" s="66"/>
      <c r="F4" s="15" t="s">
        <v>32</v>
      </c>
      <c r="G4" s="15" t="s">
        <v>33</v>
      </c>
      <c r="H4" s="15" t="s">
        <v>34</v>
      </c>
      <c r="I4" s="66"/>
      <c r="J4" s="66"/>
      <c r="K4" s="11" t="s">
        <v>35</v>
      </c>
      <c r="L4" s="66"/>
    </row>
    <row r="5" spans="1:12" x14ac:dyDescent="0.2">
      <c r="A5" s="7" t="s">
        <v>36</v>
      </c>
      <c r="B5" s="9">
        <v>12</v>
      </c>
      <c r="C5" s="68"/>
      <c r="D5" s="33" t="s">
        <v>14</v>
      </c>
      <c r="E5" s="66"/>
      <c r="F5" s="16" t="s">
        <v>3</v>
      </c>
      <c r="G5" s="23">
        <f>DATE(2026,7,8)</f>
        <v>46211</v>
      </c>
      <c r="H5" s="23"/>
      <c r="I5" s="66"/>
      <c r="J5" s="66"/>
      <c r="K5" s="27">
        <f>TIME(6,0,0)</f>
        <v>0.25</v>
      </c>
      <c r="L5" s="66"/>
    </row>
    <row r="6" spans="1:12" x14ac:dyDescent="0.2">
      <c r="A6" s="7" t="s">
        <v>37</v>
      </c>
      <c r="B6" s="9">
        <v>12</v>
      </c>
      <c r="C6" s="68"/>
      <c r="D6" s="33" t="s">
        <v>17</v>
      </c>
      <c r="E6" s="66"/>
      <c r="F6" s="16" t="s">
        <v>4</v>
      </c>
      <c r="G6" s="23">
        <f>DATE(2026,7,17)</f>
        <v>46220</v>
      </c>
      <c r="H6" s="23">
        <f>DATE(2026,7,19)</f>
        <v>46222</v>
      </c>
      <c r="I6" s="66"/>
      <c r="J6" s="66"/>
      <c r="K6" s="27">
        <f>K5+TIME(0,30,0)</f>
        <v>0.27083333333333331</v>
      </c>
      <c r="L6" s="66"/>
    </row>
    <row r="7" spans="1:12" x14ac:dyDescent="0.2">
      <c r="A7" s="7" t="s">
        <v>38</v>
      </c>
      <c r="B7" s="26">
        <f>TIME(8,0,0)</f>
        <v>0.33333333333333331</v>
      </c>
      <c r="C7" s="68"/>
      <c r="D7" s="33" t="s">
        <v>15</v>
      </c>
      <c r="E7" s="66"/>
      <c r="F7" s="16" t="s">
        <v>39</v>
      </c>
      <c r="G7" s="23">
        <f>DATE(2026,7,8)</f>
        <v>46211</v>
      </c>
      <c r="H7" s="23">
        <f>DATE(2026,7,22)</f>
        <v>46225</v>
      </c>
      <c r="I7" s="66"/>
      <c r="J7" s="66"/>
      <c r="K7" s="27">
        <f t="shared" ref="K7:K37" si="0">K6+TIME(0,30,0)</f>
        <v>0.29166666666666663</v>
      </c>
      <c r="L7" s="66"/>
    </row>
    <row r="8" spans="1:12" x14ac:dyDescent="0.2">
      <c r="A8" s="7" t="s">
        <v>40</v>
      </c>
      <c r="B8" s="26">
        <f>TIME(20,0,0)</f>
        <v>0.83333333333333337</v>
      </c>
      <c r="C8" s="68"/>
      <c r="D8" s="33" t="s">
        <v>16</v>
      </c>
      <c r="E8" s="66"/>
      <c r="F8" s="16" t="s">
        <v>41</v>
      </c>
      <c r="G8" s="23">
        <f>DATE(2026,7,8)</f>
        <v>46211</v>
      </c>
      <c r="H8" s="23">
        <f>DATE(2026,8,14)</f>
        <v>46248</v>
      </c>
      <c r="I8" s="66"/>
      <c r="J8" s="66"/>
      <c r="K8" s="27">
        <f t="shared" si="0"/>
        <v>0.31249999999999994</v>
      </c>
      <c r="L8" s="66"/>
    </row>
    <row r="9" spans="1:12" x14ac:dyDescent="0.2">
      <c r="A9" s="66"/>
      <c r="B9" s="66"/>
      <c r="C9" s="68"/>
      <c r="D9" s="33" t="s">
        <v>20</v>
      </c>
      <c r="E9" s="66"/>
      <c r="F9" s="16" t="s">
        <v>7</v>
      </c>
      <c r="G9" s="23">
        <f>DATE(2026,7,8)</f>
        <v>46211</v>
      </c>
      <c r="H9" s="23">
        <f>DATE(2026,8,14)</f>
        <v>46248</v>
      </c>
      <c r="I9" s="66"/>
      <c r="J9" s="66"/>
      <c r="K9" s="27">
        <f t="shared" si="0"/>
        <v>0.33333333333333326</v>
      </c>
      <c r="L9" s="66"/>
    </row>
    <row r="10" spans="1:12" x14ac:dyDescent="0.2">
      <c r="A10" s="66"/>
      <c r="B10" s="66"/>
      <c r="C10" s="68"/>
      <c r="D10" s="33" t="s">
        <v>42</v>
      </c>
      <c r="E10" s="66"/>
      <c r="F10" s="16" t="s">
        <v>43</v>
      </c>
      <c r="G10" s="23">
        <f>DATE(2026,7,8)</f>
        <v>46211</v>
      </c>
      <c r="H10" s="23">
        <f>DATE(2026,8,14)</f>
        <v>46248</v>
      </c>
      <c r="I10" s="66"/>
      <c r="J10" s="66"/>
      <c r="K10" s="27">
        <f t="shared" si="0"/>
        <v>0.35416666666666657</v>
      </c>
      <c r="L10" s="66"/>
    </row>
    <row r="11" spans="1:12" ht="16" x14ac:dyDescent="0.2">
      <c r="A11" s="8" t="s">
        <v>44</v>
      </c>
      <c r="B11" s="70"/>
      <c r="C11" s="69"/>
      <c r="D11" s="33" t="s">
        <v>18</v>
      </c>
      <c r="E11" s="8" t="s">
        <v>45</v>
      </c>
      <c r="I11" s="66"/>
      <c r="J11" s="66"/>
      <c r="K11" s="27">
        <f t="shared" si="0"/>
        <v>0.37499999999999989</v>
      </c>
      <c r="L11" s="66"/>
    </row>
    <row r="12" spans="1:12" x14ac:dyDescent="0.2">
      <c r="A12" s="15" t="s">
        <v>46</v>
      </c>
      <c r="B12" s="15" t="s">
        <v>47</v>
      </c>
      <c r="C12" s="36" t="s">
        <v>48</v>
      </c>
      <c r="D12" s="82" t="s">
        <v>19</v>
      </c>
      <c r="E12" s="15" t="s">
        <v>32</v>
      </c>
      <c r="F12" s="15" t="s">
        <v>49</v>
      </c>
      <c r="G12" s="15" t="s">
        <v>50</v>
      </c>
      <c r="H12" s="15" t="s">
        <v>51</v>
      </c>
      <c r="I12" s="66"/>
      <c r="J12" s="66"/>
      <c r="K12" s="27">
        <f t="shared" si="0"/>
        <v>0.3958333333333332</v>
      </c>
      <c r="L12" s="66"/>
    </row>
    <row r="13" spans="1:12" x14ac:dyDescent="0.2">
      <c r="A13" s="34" t="str">
        <f>IF(D4="","",D4)</f>
        <v>Billie</v>
      </c>
      <c r="B13" s="19">
        <f>IF($A13="","",COUNTIF('Lucy Levene'!$M$5:$O$42,$A13)+COUNTIF('Tom Bock'!$M$5:$O$42,$A13)+COUNTIF(Jeremy!$M$5:$O$42,$A13)+COUNTIF('Test Patient'!$M$5:$O$42,$A13)+COUNTIF('Anita Klesch'!$M$5:$N$42,$A13)+COUNTIF('Test Patient 2'!$M$5:$N$42,$A13))</f>
        <v>12</v>
      </c>
      <c r="C13" s="37">
        <f>IF($A13="","",(COUNTIF('Lucy Levene'!$M$5:$O$42,$A13)+COUNTIF('Tom Bock'!$M$5:$O$42,$A13)+COUNTIF(Jeremy!$M$5:$O$42,$A13)+COUNTIF('Test Patient'!$M$5:$O$42,$A13))*VisitHrs+(COUNTIF('Anita Klesch'!$M$5:$M$42,$A13)+COUNTIF('Test Patient 2'!$M$5:$M$42,$A13))*DayHrs+(COUNTIF('Anita Klesch'!$N$5:$N$42,$A13)+COUNTIF('Test Patient 2'!$N$5:$N$42,$A13))*NightHrs)</f>
        <v>24</v>
      </c>
      <c r="D13" s="14" t="s">
        <v>89</v>
      </c>
      <c r="E13" s="16" t="s">
        <v>3</v>
      </c>
      <c r="F13" s="19">
        <f>SUM('Lucy Levene'!$I$5:$I$42)</f>
        <v>47</v>
      </c>
      <c r="G13" s="19" t="s">
        <v>52</v>
      </c>
      <c r="H13" s="20" t="s">
        <v>52</v>
      </c>
      <c r="I13" s="66"/>
      <c r="J13" s="66"/>
      <c r="K13" s="27">
        <f t="shared" si="0"/>
        <v>0.41666666666666652</v>
      </c>
      <c r="L13" s="66"/>
    </row>
    <row r="14" spans="1:12" x14ac:dyDescent="0.2">
      <c r="A14" s="34" t="str">
        <f t="shared" ref="A14:A22" si="1">IF(D5="","",D5)</f>
        <v>Roderick</v>
      </c>
      <c r="B14" s="19">
        <f>IF($A14="","",COUNTIF('Lucy Levene'!$M$5:$O$42,$A14)+COUNTIF('Tom Bock'!$M$5:$O$42,$A14)+COUNTIF(Jeremy!$M$5:$O$42,$A14)+COUNTIF('Test Patient'!$M$5:$O$42,$A14)+COUNTIF('Anita Klesch'!$M$5:$N$42,$A14)+COUNTIF('Test Patient 2'!$M$5:$N$42,$A14))</f>
        <v>25</v>
      </c>
      <c r="C14" s="37">
        <f>IF($A14="","",(COUNTIF('Lucy Levene'!$M$5:$O$42,$A14)+COUNTIF('Tom Bock'!$M$5:$O$42,$A14)+COUNTIF(Jeremy!$M$5:$O$42,$A14)+COUNTIF('Test Patient'!$M$5:$O$42,$A14))*VisitHrs+(COUNTIF('Anita Klesch'!$M$5:$M$42,$A14)+COUNTIF('Test Patient 2'!$M$5:$M$42,$A14))*DayHrs+(COUNTIF('Anita Klesch'!$N$5:$N$42,$A14)+COUNTIF('Test Patient 2'!$N$5:$N$42,$A14))*NightHrs)</f>
        <v>50</v>
      </c>
      <c r="D14" s="14"/>
      <c r="E14" s="16" t="s">
        <v>4</v>
      </c>
      <c r="F14" s="19">
        <f>SUM('Tom Bock'!$I$5:$I$42)</f>
        <v>0</v>
      </c>
      <c r="G14" s="19" t="s">
        <v>52</v>
      </c>
      <c r="H14" s="20" t="s">
        <v>52</v>
      </c>
      <c r="I14" s="66"/>
      <c r="J14" s="66"/>
      <c r="K14" s="27">
        <f t="shared" si="0"/>
        <v>0.43749999999999983</v>
      </c>
      <c r="L14" s="66"/>
    </row>
    <row r="15" spans="1:12" x14ac:dyDescent="0.2">
      <c r="A15" s="34" t="str">
        <f t="shared" si="1"/>
        <v>Meseret</v>
      </c>
      <c r="B15" s="19">
        <f>IF($A15="","",COUNTIF('Lucy Levene'!$M$5:$O$42,$A15)+COUNTIF('Tom Bock'!$M$5:$O$42,$A15)+COUNTIF(Jeremy!$M$5:$O$42,$A15)+COUNTIF('Test Patient'!$M$5:$O$42,$A15)+COUNTIF('Anita Klesch'!$M$5:$N$42,$A15)+COUNTIF('Test Patient 2'!$M$5:$N$42,$A15))</f>
        <v>2</v>
      </c>
      <c r="C15" s="37">
        <f>IF($A15="","",(COUNTIF('Lucy Levene'!$M$5:$O$42,$A15)+COUNTIF('Tom Bock'!$M$5:$O$42,$A15)+COUNTIF(Jeremy!$M$5:$O$42,$A15)+COUNTIF('Test Patient'!$M$5:$O$42,$A15))*VisitHrs+(COUNTIF('Anita Klesch'!$M$5:$M$42,$A15)+COUNTIF('Test Patient 2'!$M$5:$M$42,$A15))*DayHrs+(COUNTIF('Anita Klesch'!$N$5:$N$42,$A15)+COUNTIF('Test Patient 2'!$N$5:$N$42,$A15))*NightHrs)</f>
        <v>4</v>
      </c>
      <c r="D15" s="14"/>
      <c r="E15" s="16" t="s">
        <v>39</v>
      </c>
      <c r="F15" s="19">
        <f>COUNTIF('Anita Klesch'!$M$5:$N$42,"?*")</f>
        <v>26</v>
      </c>
      <c r="G15" s="20">
        <f>IF(SUM('Anita Klesch'!$H$5:$H$42)=0,0,F15/(SUM('Anita Klesch'!$H$5:$H$42)*2))</f>
        <v>0.8666666666666667</v>
      </c>
      <c r="H15" s="20">
        <f>SUM('Anita Klesch'!$H$5:$H$42)*2-F15</f>
        <v>4</v>
      </c>
      <c r="I15" s="66"/>
      <c r="J15" s="66"/>
      <c r="K15" s="27">
        <f t="shared" si="0"/>
        <v>0.45833333333333315</v>
      </c>
      <c r="L15" s="66"/>
    </row>
    <row r="16" spans="1:12" x14ac:dyDescent="0.2">
      <c r="A16" s="34" t="str">
        <f t="shared" si="1"/>
        <v>Naresh</v>
      </c>
      <c r="B16" s="19">
        <f>IF($A16="","",COUNTIF('Lucy Levene'!$M$5:$O$42,$A16)+COUNTIF('Tom Bock'!$M$5:$O$42,$A16)+COUNTIF(Jeremy!$M$5:$O$42,$A16)+COUNTIF('Test Patient'!$M$5:$O$42,$A16)+COUNTIF('Anita Klesch'!$M$5:$N$42,$A16)+COUNTIF('Test Patient 2'!$M$5:$N$42,$A16))</f>
        <v>9</v>
      </c>
      <c r="C16" s="37">
        <f>IF($A16="","",(COUNTIF('Lucy Levene'!$M$5:$O$42,$A16)+COUNTIF('Tom Bock'!$M$5:$O$42,$A16)+COUNTIF(Jeremy!$M$5:$O$42,$A16)+COUNTIF('Test Patient'!$M$5:$O$42,$A16))*VisitHrs+(COUNTIF('Anita Klesch'!$M$5:$M$42,$A16)+COUNTIF('Test Patient 2'!$M$5:$M$42,$A16))*DayHrs+(COUNTIF('Anita Klesch'!$N$5:$N$42,$A16)+COUNTIF('Test Patient 2'!$N$5:$N$42,$A16))*NightHrs)</f>
        <v>108</v>
      </c>
      <c r="D16" s="14"/>
      <c r="E16" s="16" t="s">
        <v>6</v>
      </c>
      <c r="F16" s="19">
        <f>SUM(Jeremy!$I$5:$I$42)</f>
        <v>0</v>
      </c>
      <c r="G16" s="19" t="s">
        <v>52</v>
      </c>
      <c r="H16" s="20" t="s">
        <v>52</v>
      </c>
      <c r="I16" s="66"/>
      <c r="J16" s="66"/>
      <c r="K16" s="27">
        <f t="shared" si="0"/>
        <v>0.47916666666666646</v>
      </c>
      <c r="L16" s="66"/>
    </row>
    <row r="17" spans="1:12" x14ac:dyDescent="0.2">
      <c r="A17" s="34" t="str">
        <f t="shared" si="1"/>
        <v>Rochelle</v>
      </c>
      <c r="B17" s="19">
        <f>IF($A17="","",COUNTIF('Lucy Levene'!$M$5:$O$42,$A17)+COUNTIF('Tom Bock'!$M$5:$O$42,$A17)+COUNTIF(Jeremy!$M$5:$O$42,$A17)+COUNTIF('Test Patient'!$M$5:$O$42,$A17)+COUNTIF('Anita Klesch'!$M$5:$N$42,$A17)+COUNTIF('Test Patient 2'!$M$5:$N$42,$A17))</f>
        <v>11</v>
      </c>
      <c r="C17" s="37">
        <f>IF($A17="","",(COUNTIF('Lucy Levene'!$M$5:$O$42,$A17)+COUNTIF('Tom Bock'!$M$5:$O$42,$A17)+COUNTIF(Jeremy!$M$5:$O$42,$A17)+COUNTIF('Test Patient'!$M$5:$O$42,$A17))*VisitHrs+(COUNTIF('Anita Klesch'!$M$5:$M$42,$A17)+COUNTIF('Test Patient 2'!$M$5:$M$42,$A17))*DayHrs+(COUNTIF('Anita Klesch'!$N$5:$N$42,$A17)+COUNTIF('Test Patient 2'!$N$5:$N$42,$A17))*NightHrs)</f>
        <v>52</v>
      </c>
      <c r="D17" s="14"/>
      <c r="E17" s="16" t="s">
        <v>7</v>
      </c>
      <c r="F17" s="19">
        <f>SUM('Test Patient'!$I$5:$I$42)</f>
        <v>0</v>
      </c>
      <c r="G17" s="19" t="s">
        <v>52</v>
      </c>
      <c r="H17" s="19" t="s">
        <v>52</v>
      </c>
      <c r="I17" s="66"/>
      <c r="J17" s="66"/>
      <c r="K17" s="27">
        <f t="shared" si="0"/>
        <v>0.49999999999999978</v>
      </c>
      <c r="L17" s="66"/>
    </row>
    <row r="18" spans="1:12" x14ac:dyDescent="0.2">
      <c r="A18" s="34" t="str">
        <f t="shared" si="1"/>
        <v>Maica</v>
      </c>
      <c r="B18" s="19">
        <f>IF($A18="","",COUNTIF('Lucy Levene'!$M$5:$O$42,$A18)+COUNTIF('Tom Bock'!$M$5:$O$42,$A18)+COUNTIF(Jeremy!$M$5:$O$42,$A18)+COUNTIF('Test Patient'!$M$5:$O$42,$A18)+COUNTIF('Anita Klesch'!$M$5:$N$42,$A18)+COUNTIF('Test Patient 2'!$M$5:$N$42,$A18))</f>
        <v>8</v>
      </c>
      <c r="C18" s="37">
        <f>IF($A18="","",(COUNTIF('Lucy Levene'!$M$5:$O$42,$A18)+COUNTIF('Tom Bock'!$M$5:$O$42,$A18)+COUNTIF(Jeremy!$M$5:$O$42,$A18)+COUNTIF('Test Patient'!$M$5:$O$42,$A18))*VisitHrs+(COUNTIF('Anita Klesch'!$M$5:$M$42,$A18)+COUNTIF('Test Patient 2'!$M$5:$M$42,$A18))*DayHrs+(COUNTIF('Anita Klesch'!$N$5:$N$42,$A18)+COUNTIF('Test Patient 2'!$N$5:$N$42,$A18))*NightHrs)</f>
        <v>96</v>
      </c>
      <c r="D18" s="14"/>
      <c r="E18" s="16" t="s">
        <v>43</v>
      </c>
      <c r="F18" s="19">
        <f>COUNTIF('Test Patient 2'!$M$5:$N$42,"?*")</f>
        <v>0</v>
      </c>
      <c r="G18" s="20">
        <f>IF(SUM('Test Patient 2'!$H$5:$H$42)=0,0,F18/(SUM('Test Patient 2'!$H$5:$H$42)*2))</f>
        <v>0</v>
      </c>
      <c r="H18" s="19">
        <f>SUM('Test Patient 2'!$H$5:$H$42)*2-F18</f>
        <v>76</v>
      </c>
      <c r="I18" s="66"/>
      <c r="J18" s="66"/>
      <c r="K18" s="27">
        <f t="shared" si="0"/>
        <v>0.52083333333333315</v>
      </c>
      <c r="L18" s="66"/>
    </row>
    <row r="19" spans="1:12" x14ac:dyDescent="0.2">
      <c r="A19" s="34" t="str">
        <f t="shared" si="1"/>
        <v>Ricardo</v>
      </c>
      <c r="B19" s="19">
        <f>IF($A19="","",COUNTIF('Lucy Levene'!$M$5:$O$42,$A19)+COUNTIF('Tom Bock'!$M$5:$O$42,$A19)+COUNTIF(Jeremy!$M$5:$O$42,$A19)+COUNTIF('Test Patient'!$M$5:$O$42,$A19)+COUNTIF('Anita Klesch'!$M$5:$N$42,$A19)+COUNTIF('Test Patient 2'!$M$5:$N$42,$A19))</f>
        <v>0</v>
      </c>
      <c r="C19" s="37">
        <f>IF($A19="","",(COUNTIF('Lucy Levene'!$M$5:$O$42,$A19)+COUNTIF('Tom Bock'!$M$5:$O$42,$A19)+COUNTIF(Jeremy!$M$5:$O$42,$A19)+COUNTIF('Test Patient'!$M$5:$O$42,$A19))*VisitHrs+(COUNTIF('Anita Klesch'!$M$5:$M$42,$A19)+COUNTIF('Test Patient 2'!$M$5:$M$42,$A19))*DayHrs+(COUNTIF('Anita Klesch'!$N$5:$N$42,$A19)+COUNTIF('Test Patient 2'!$N$5:$N$42,$A19))*NightHrs)</f>
        <v>0</v>
      </c>
      <c r="D19" s="13"/>
      <c r="I19" s="66"/>
      <c r="J19" s="66"/>
      <c r="K19" s="27">
        <f t="shared" si="0"/>
        <v>0.54166666666666652</v>
      </c>
      <c r="L19" s="66"/>
    </row>
    <row r="20" spans="1:12" ht="16" x14ac:dyDescent="0.2">
      <c r="A20" s="34" t="str">
        <f t="shared" si="1"/>
        <v>Veronica</v>
      </c>
      <c r="B20" s="19">
        <f>IF($A20="","",COUNTIF('Lucy Levene'!$M$5:$O$42,$A20)+COUNTIF('Tom Bock'!$M$5:$O$42,$A20)+COUNTIF(Jeremy!$M$5:$O$42,$A20)+COUNTIF('Test Patient'!$M$5:$O$42,$A20)+COUNTIF('Anita Klesch'!$M$5:$N$42,$A20)+COUNTIF('Test Patient 2'!$M$5:$N$42,$A20))</f>
        <v>2</v>
      </c>
      <c r="C20" s="37">
        <f>IF($A20="","",(COUNTIF('Lucy Levene'!$M$5:$O$42,$A20)+COUNTIF('Tom Bock'!$M$5:$O$42,$A20)+COUNTIF(Jeremy!$M$5:$O$42,$A20)+COUNTIF('Test Patient'!$M$5:$O$42,$A20))*VisitHrs+(COUNTIF('Anita Klesch'!$M$5:$M$42,$A20)+COUNTIF('Test Patient 2'!$M$5:$M$42,$A20))*DayHrs+(COUNTIF('Anita Klesch'!$N$5:$N$42,$A20)+COUNTIF('Test Patient 2'!$N$5:$N$42,$A20))*NightHrs)</f>
        <v>24</v>
      </c>
      <c r="D20" s="13"/>
      <c r="E20" s="8" t="s">
        <v>53</v>
      </c>
      <c r="I20" s="66"/>
      <c r="J20" s="66"/>
      <c r="K20" s="27">
        <f t="shared" si="0"/>
        <v>0.56249999999999989</v>
      </c>
      <c r="L20" s="66"/>
    </row>
    <row r="21" spans="1:12" ht="19" x14ac:dyDescent="0.25">
      <c r="A21" s="16" t="str">
        <f t="shared" si="1"/>
        <v>Ruth</v>
      </c>
      <c r="B21" s="19">
        <f>IF($A21="","",COUNTIF('Lucy Levene'!$M$5:$O$42,$A21)+COUNTIF('Tom Bock'!$M$5:$O$42,$A21)+COUNTIF(Jeremy!$M$5:$O$42,$A21)+COUNTIF('Test Patient'!$M$5:$O$42,$A21)+COUNTIF('Anita Klesch'!$M$5:$N$42,$A21)+COUNTIF('Test Patient 2'!$M$5:$N$42,$A21))</f>
        <v>3</v>
      </c>
      <c r="C21" s="37">
        <f>IF($A21="","",(COUNTIF('Lucy Levene'!$M$5:$O$42,$A21)+COUNTIF('Tom Bock'!$M$5:$O$42,$A21)+COUNTIF(Jeremy!$M$5:$O$42,$A21)+COUNTIF('Test Patient'!$M$5:$O$42,$A21))*VisitHrs+(COUNTIF('Anita Klesch'!$M$5:$M$42,$A21)+COUNTIF('Test Patient 2'!$M$5:$M$42,$A21))*DayHrs+(COUNTIF('Anita Klesch'!$N$5:$N$42,$A21)+COUNTIF('Test Patient 2'!$N$5:$N$42,$A21))*NightHrs)</f>
        <v>36</v>
      </c>
      <c r="D21" s="13"/>
      <c r="E21" t="s">
        <v>54</v>
      </c>
      <c r="H21" s="22">
        <f>SUM('Lucy Levene'!$J$5:$L$42)+SUM('Tom Bock'!$J$5:$L$42)+SUM(Jeremy!$J$5:$L$42)+SUM('Test Patient'!$J$5:$L$42)+SUM('Anita Klesch'!$J$5:$K$42)+SUM('Test Patient 2'!$J$5:$K$42)</f>
        <v>0</v>
      </c>
      <c r="I21" s="66"/>
      <c r="J21" s="66"/>
      <c r="K21" s="27">
        <f t="shared" si="0"/>
        <v>0.58333333333333326</v>
      </c>
      <c r="L21" s="66"/>
    </row>
    <row r="22" spans="1:12" x14ac:dyDescent="0.2">
      <c r="A22" s="16" t="str">
        <f t="shared" si="1"/>
        <v>Joriza</v>
      </c>
      <c r="B22" s="19">
        <f>IF($A22="","",COUNTIF('Lucy Levene'!$M$5:$O$42,$A22)+COUNTIF('Tom Bock'!$M$5:$O$42,$A22)+COUNTIF(Jeremy!$M$5:$O$42,$A22)+COUNTIF('Test Patient'!$M$5:$O$42,$A22)+COUNTIF('Anita Klesch'!$M$5:$N$42,$A22)+COUNTIF('Test Patient 2'!$M$5:$N$42,$A22))</f>
        <v>1</v>
      </c>
      <c r="C22" s="37">
        <f>IF($A22="","",(COUNTIF('Lucy Levene'!$M$5:$O$42,$A22)+COUNTIF('Tom Bock'!$M$5:$O$42,$A22)+COUNTIF(Jeremy!$M$5:$O$42,$A22)+COUNTIF('Test Patient'!$M$5:$O$42,$A22))*VisitHrs+(COUNTIF('Anita Klesch'!$M$5:$M$42,$A22)+COUNTIF('Test Patient 2'!$M$5:$M$42,$A22))*DayHrs+(COUNTIF('Anita Klesch'!$N$5:$N$42,$A22)+COUNTIF('Test Patient 2'!$N$5:$N$42,$A22))*NightHrs)</f>
        <v>12</v>
      </c>
      <c r="D22" s="13"/>
      <c r="E22" t="s">
        <v>55</v>
      </c>
      <c r="I22" s="66"/>
      <c r="J22" s="66"/>
      <c r="K22" s="27">
        <f t="shared" si="0"/>
        <v>0.60416666666666663</v>
      </c>
      <c r="L22" s="66"/>
    </row>
    <row r="23" spans="1:12" x14ac:dyDescent="0.2">
      <c r="D23" s="10"/>
      <c r="I23" s="66"/>
      <c r="J23" s="66"/>
      <c r="K23" s="27">
        <f t="shared" si="0"/>
        <v>0.625</v>
      </c>
      <c r="L23" s="66"/>
    </row>
    <row r="24" spans="1:12" x14ac:dyDescent="0.2">
      <c r="I24" s="66"/>
      <c r="J24" s="66"/>
      <c r="K24" s="27">
        <f t="shared" si="0"/>
        <v>0.64583333333333337</v>
      </c>
      <c r="L24" s="66"/>
    </row>
    <row r="25" spans="1:12" ht="16" x14ac:dyDescent="0.2">
      <c r="A25" s="8" t="s">
        <v>56</v>
      </c>
      <c r="I25" s="66"/>
      <c r="J25" s="66"/>
      <c r="K25" s="27">
        <f t="shared" si="0"/>
        <v>0.66666666666666674</v>
      </c>
      <c r="L25" s="66"/>
    </row>
    <row r="26" spans="1:12" x14ac:dyDescent="0.2">
      <c r="A26" s="15" t="s">
        <v>57</v>
      </c>
      <c r="B26" s="15" t="s">
        <v>58</v>
      </c>
      <c r="C26" s="36" t="s">
        <v>48</v>
      </c>
      <c r="D26" s="15" t="s">
        <v>59</v>
      </c>
      <c r="I26" s="66"/>
      <c r="J26" s="66"/>
      <c r="K26" s="27">
        <f t="shared" si="0"/>
        <v>0.68750000000000011</v>
      </c>
      <c r="L26" s="66"/>
    </row>
    <row r="27" spans="1:12" x14ac:dyDescent="0.2">
      <c r="A27" s="17">
        <f>'Lucy Levene'!A5</f>
        <v>46211</v>
      </c>
      <c r="B27" s="19">
        <f>SUM('Lucy Levene'!I5:I11)+SUM('Tom Bock'!I5:I11)+SUM(Jeremy!I5:I11)+SUM('Test Patient'!I5:I11)+COUNTIF('Anita Klesch'!M5:N11,"?*")+COUNTIF('Test Patient 2'!M5:N11,"?*")</f>
        <v>25</v>
      </c>
      <c r="C27" s="37">
        <f>(SUM('Lucy Levene'!I5:I11)+SUM('Tom Bock'!I5:I11)+SUM(Jeremy!I5:I11)+SUM('Test Patient'!I5:I11))*VisitHrs+(COUNTIF('Anita Klesch'!M5:M11,"?*")+COUNTIF('Test Patient 2'!M5:M11,"?*"))*DayHrs+(COUNTIF('Anita Klesch'!N5:N11,"?*")+COUNTIF('Test Patient 2'!N5:N11,"?*"))*NightHrs</f>
        <v>190</v>
      </c>
      <c r="D27" s="19">
        <f>(SUM('Anita Klesch'!H5:H11)+SUM('Test Patient 2'!H5:H11))*2-(COUNTIF('Anita Klesch'!M5:N11,"?*")+COUNTIF('Test Patient 2'!M5:N11,"?*"))</f>
        <v>14</v>
      </c>
      <c r="I27" s="66"/>
      <c r="J27" s="66"/>
      <c r="K27" s="27">
        <f t="shared" si="0"/>
        <v>0.70833333333333348</v>
      </c>
      <c r="L27" s="66"/>
    </row>
    <row r="28" spans="1:12" x14ac:dyDescent="0.2">
      <c r="A28" s="17">
        <f>'Lucy Levene'!A12</f>
        <v>46218</v>
      </c>
      <c r="B28" s="19">
        <f>SUM('Lucy Levene'!I12:I18)+SUM('Tom Bock'!I12:I18)+SUM(Jeremy!I12:I18)+SUM('Test Patient'!I12:I18)+COUNTIF('Anita Klesch'!M12:N18,"?*")+COUNTIF('Test Patient 2'!M12:N18,"?*")</f>
        <v>26</v>
      </c>
      <c r="C28" s="37">
        <f>(SUM('Lucy Levene'!I12:I18)+SUM('Tom Bock'!I12:I18)+SUM(Jeremy!I12:I18)+SUM('Test Patient'!I12:I18))*VisitHrs+(COUNTIF('Anita Klesch'!M12:M18,"?*")+COUNTIF('Test Patient 2'!M12:M18,"?*"))*DayHrs+(COUNTIF('Anita Klesch'!N12:N18,"?*")+COUNTIF('Test Patient 2'!N12:N18,"?*"))*NightHrs</f>
        <v>172</v>
      </c>
      <c r="D28" s="19">
        <f>(SUM('Anita Klesch'!H12:H18)+SUM('Test Patient 2'!H12:H18))*2-(COUNTIF('Anita Klesch'!M12:N18,"?*")+COUNTIF('Test Patient 2'!M12:N18,"?*"))</f>
        <v>16</v>
      </c>
      <c r="I28" s="66"/>
      <c r="J28" s="66"/>
      <c r="K28" s="27">
        <f t="shared" si="0"/>
        <v>0.72916666666666685</v>
      </c>
      <c r="L28" s="66"/>
    </row>
    <row r="29" spans="1:12" x14ac:dyDescent="0.2">
      <c r="A29" s="17">
        <f>'Lucy Levene'!A19</f>
        <v>46225</v>
      </c>
      <c r="B29" s="19">
        <f>SUM('Lucy Levene'!I19:I25)+SUM('Tom Bock'!I19:I25)+SUM(Jeremy!I19:I25)+SUM('Test Patient'!I19:I25)+COUNTIF('Anita Klesch'!M19:N25,"?*")+COUNTIF('Test Patient 2'!M19:N25,"?*")</f>
        <v>14</v>
      </c>
      <c r="C29" s="37">
        <f>(SUM('Lucy Levene'!I19:I25)+SUM('Tom Bock'!I19:I25)+SUM(Jeremy!I19:I25)+SUM('Test Patient'!I19:I25))*VisitHrs+(COUNTIF('Anita Klesch'!M19:M25,"?*")+COUNTIF('Test Patient 2'!M19:M25,"?*"))*DayHrs+(COUNTIF('Anita Klesch'!N19:N25,"?*")+COUNTIF('Test Patient 2'!N19:N25,"?*"))*NightHrs</f>
        <v>28</v>
      </c>
      <c r="D29" s="19">
        <f>(SUM('Anita Klesch'!H19:H25)+SUM('Test Patient 2'!H19:H25))*2-(COUNTIF('Anita Klesch'!M19:N25,"?*")+COUNTIF('Test Patient 2'!M19:N25,"?*"))</f>
        <v>16</v>
      </c>
      <c r="I29" s="66"/>
      <c r="J29" s="66"/>
      <c r="K29" s="27">
        <f t="shared" si="0"/>
        <v>0.75000000000000022</v>
      </c>
      <c r="L29" s="66"/>
    </row>
    <row r="30" spans="1:12" x14ac:dyDescent="0.2">
      <c r="A30" s="17">
        <f>'Lucy Levene'!A26</f>
        <v>46232</v>
      </c>
      <c r="B30" s="19">
        <f>SUM('Lucy Levene'!I26:I32)+SUM('Tom Bock'!I26:I32)+SUM(Jeremy!I26:I32)+SUM('Test Patient'!I26:I32)+COUNTIF('Anita Klesch'!M26:N32,"?*")+COUNTIF('Test Patient 2'!M26:N32,"?*")</f>
        <v>8</v>
      </c>
      <c r="C30" s="37">
        <f>(SUM('Lucy Levene'!I26:I32)+SUM('Tom Bock'!I26:I32)+SUM(Jeremy!I26:I32)+SUM('Test Patient'!I26:I32))*VisitHrs+(COUNTIF('Anita Klesch'!M26:M32,"?*")+COUNTIF('Test Patient 2'!M26:M32,"?*"))*DayHrs+(COUNTIF('Anita Klesch'!N26:N32,"?*")+COUNTIF('Test Patient 2'!N26:N32,"?*"))*NightHrs</f>
        <v>16</v>
      </c>
      <c r="D30" s="19">
        <f>(SUM('Anita Klesch'!H26:H32)+SUM('Test Patient 2'!H26:H32))*2-(COUNTIF('Anita Klesch'!M26:N32,"?*")+COUNTIF('Test Patient 2'!M26:N32,"?*"))</f>
        <v>14</v>
      </c>
      <c r="I30" s="66"/>
      <c r="J30" s="66"/>
      <c r="K30" s="27">
        <f t="shared" si="0"/>
        <v>0.77083333333333359</v>
      </c>
      <c r="L30" s="66"/>
    </row>
    <row r="31" spans="1:12" x14ac:dyDescent="0.2">
      <c r="A31" s="17">
        <f>'Lucy Levene'!A33</f>
        <v>46239</v>
      </c>
      <c r="B31" s="19">
        <f>SUM('Lucy Levene'!I33:I39)+SUM('Tom Bock'!I33:I39)+SUM(Jeremy!I33:I39)+SUM('Test Patient'!I33:I39)+COUNTIF('Anita Klesch'!M33:N39,"?*")+COUNTIF('Test Patient 2'!M33:N39,"?*")</f>
        <v>0</v>
      </c>
      <c r="C31" s="37">
        <f>(SUM('Lucy Levene'!I33:I39)+SUM('Tom Bock'!I33:I39)+SUM(Jeremy!I33:I39)+SUM('Test Patient'!I33:I39))*VisitHrs+(COUNTIF('Anita Klesch'!M33:M39,"?*")+COUNTIF('Test Patient 2'!M33:M39,"?*"))*DayHrs+(COUNTIF('Anita Klesch'!N33:N39,"?*")+COUNTIF('Test Patient 2'!N33:N39,"?*"))*NightHrs</f>
        <v>0</v>
      </c>
      <c r="D31" s="19">
        <f>(SUM('Anita Klesch'!H33:H39)+SUM('Test Patient 2'!H33:H39))*2-(COUNTIF('Anita Klesch'!M33:N39,"?*")+COUNTIF('Test Patient 2'!M33:N39,"?*"))</f>
        <v>14</v>
      </c>
      <c r="E31" s="62"/>
      <c r="F31" s="66"/>
      <c r="G31" s="66"/>
      <c r="H31" s="66"/>
      <c r="I31" s="66"/>
      <c r="J31" s="66"/>
      <c r="K31" s="27">
        <f t="shared" si="0"/>
        <v>0.79166666666666696</v>
      </c>
      <c r="L31" s="66"/>
    </row>
    <row r="32" spans="1:12" x14ac:dyDescent="0.2">
      <c r="A32" s="17">
        <f>'Lucy Levene'!A40</f>
        <v>46246</v>
      </c>
      <c r="B32" s="19">
        <f>SUM('Lucy Levene'!I40:I42)+SUM('Tom Bock'!I40:I42)+SUM(Jeremy!I40:I42)+SUM('Test Patient'!I40:I42)+COUNTIF('Anita Klesch'!M40:N42,"?*")+COUNTIF('Test Patient 2'!M40:N42,"?*")</f>
        <v>0</v>
      </c>
      <c r="C32" s="37">
        <f>(SUM('Lucy Levene'!I40:I42)+SUM('Tom Bock'!I40:I42)+SUM(Jeremy!I40:I42)+SUM('Test Patient'!I40:I42))*VisitHrs+(COUNTIF('Anita Klesch'!M40:M42,"?*")+COUNTIF('Test Patient 2'!M40:M42,"?*"))*DayHrs+(COUNTIF('Anita Klesch'!N40:N42,"?*")+COUNTIF('Test Patient 2'!N40:N42,"?*"))*NightHrs</f>
        <v>0</v>
      </c>
      <c r="D32" s="19">
        <f>(SUM('Anita Klesch'!H40:H42)+SUM('Test Patient 2'!H40:H42))*2-(COUNTIF('Anita Klesch'!M40:N42,"?*")+COUNTIF('Test Patient 2'!M40:N42,"?*"))</f>
        <v>6</v>
      </c>
      <c r="E32" s="62"/>
      <c r="F32" s="66"/>
      <c r="G32" s="66"/>
      <c r="H32" s="66"/>
      <c r="I32" s="66"/>
      <c r="J32" s="66"/>
      <c r="K32" s="27">
        <f t="shared" si="0"/>
        <v>0.81250000000000033</v>
      </c>
      <c r="L32" s="66"/>
    </row>
    <row r="33" spans="1:12" x14ac:dyDescent="0.2">
      <c r="A33" s="18" t="s">
        <v>60</v>
      </c>
      <c r="B33" s="21">
        <f>SUM(B27:B32)</f>
        <v>73</v>
      </c>
      <c r="C33" s="38">
        <f>SUM(C27:C32)</f>
        <v>406</v>
      </c>
      <c r="D33" s="21">
        <f>SUM(D27:D32)</f>
        <v>80</v>
      </c>
      <c r="E33" s="62"/>
      <c r="F33" s="66"/>
      <c r="G33" s="66"/>
      <c r="H33" s="66"/>
      <c r="I33" s="66"/>
      <c r="J33" s="66"/>
      <c r="K33" s="27">
        <f t="shared" si="0"/>
        <v>0.8333333333333337</v>
      </c>
      <c r="L33" s="66"/>
    </row>
    <row r="34" spans="1:12" x14ac:dyDescent="0.2">
      <c r="K34" s="27">
        <f t="shared" si="0"/>
        <v>0.85416666666666707</v>
      </c>
      <c r="L34" s="66"/>
    </row>
    <row r="35" spans="1:12" x14ac:dyDescent="0.2">
      <c r="K35" s="27">
        <f t="shared" si="0"/>
        <v>0.87500000000000044</v>
      </c>
      <c r="L35" s="66"/>
    </row>
    <row r="36" spans="1:12" x14ac:dyDescent="0.2">
      <c r="K36" s="27">
        <f t="shared" si="0"/>
        <v>0.89583333333333381</v>
      </c>
      <c r="L36" s="66"/>
    </row>
    <row r="37" spans="1:12" x14ac:dyDescent="0.2">
      <c r="K37" s="27">
        <f t="shared" si="0"/>
        <v>0.91666666666666718</v>
      </c>
    </row>
  </sheetData>
  <mergeCells count="11">
    <mergeCell ref="I1:J27"/>
    <mergeCell ref="I28:J33"/>
    <mergeCell ref="E31:H33"/>
    <mergeCell ref="K1:L3"/>
    <mergeCell ref="L4:L36"/>
    <mergeCell ref="A1:H1"/>
    <mergeCell ref="A2:H2"/>
    <mergeCell ref="C3:C11"/>
    <mergeCell ref="B9:B11"/>
    <mergeCell ref="A9:A10"/>
    <mergeCell ref="E3:E10"/>
  </mergeCells>
  <conditionalFormatting sqref="H13:H16">
    <cfRule type="colorScale" priority="3">
      <colorScale>
        <cfvo type="min"/>
        <cfvo type="percent" val="50"/>
        <cfvo type="max"/>
        <color rgb="FFF8696B"/>
        <color rgb="FFFFEB84"/>
        <color rgb="FF63BE7B"/>
      </colorScale>
    </cfRule>
  </conditionalFormatting>
  <conditionalFormatting sqref="H13:H18">
    <cfRule type="colorScale" priority="6">
      <colorScale>
        <cfvo type="min"/>
        <cfvo type="percent" val="50"/>
        <cfvo type="max"/>
        <color rgb="FFF8696B"/>
        <color rgb="FFFFEB84"/>
        <color rgb="FF63BE7B"/>
      </colorScale>
    </cfRule>
  </conditionalFormatting>
  <conditionalFormatting sqref="H21">
    <cfRule type="cellIs" dxfId="43" priority="4" operator="greaterThan">
      <formula>0</formula>
    </cfRule>
    <cfRule type="cellIs" dxfId="42" priority="5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D7D9-6318-4F1E-9024-7CCB901E34AD}">
  <sheetPr>
    <tabColor rgb="FF2E75B6"/>
  </sheetPr>
  <dimension ref="A1:O42"/>
  <sheetViews>
    <sheetView workbookViewId="0">
      <pane ySplit="4" topLeftCell="A5" activePane="bottomLeft" state="frozen"/>
      <selection pane="bottomLeft" activeCell="E34" sqref="E34"/>
    </sheetView>
  </sheetViews>
  <sheetFormatPr baseColWidth="10" defaultColWidth="8.83203125" defaultRowHeight="15" outlineLevelCol="1" x14ac:dyDescent="0.2"/>
  <cols>
    <col min="1" max="1" width="18.1640625" customWidth="1"/>
    <col min="2" max="2" width="19" customWidth="1"/>
    <col min="3" max="3" width="11.83203125" customWidth="1"/>
    <col min="4" max="4" width="19" customWidth="1"/>
    <col min="5" max="5" width="11.83203125" customWidth="1"/>
    <col min="6" max="6" width="19" customWidth="1"/>
    <col min="7" max="7" width="11.83203125" customWidth="1"/>
    <col min="8" max="15" width="9.1640625" outlineLevel="1"/>
  </cols>
  <sheetData>
    <row r="1" spans="1:15" ht="21" x14ac:dyDescent="0.25">
      <c r="A1" s="39" t="s">
        <v>61</v>
      </c>
      <c r="B1" s="40"/>
      <c r="C1" s="40"/>
    </row>
    <row r="2" spans="1:15" x14ac:dyDescent="0.2">
      <c r="A2" s="41" t="s">
        <v>62</v>
      </c>
      <c r="B2" s="40"/>
      <c r="C2" s="40"/>
    </row>
    <row r="4" spans="1:15" x14ac:dyDescent="0.2">
      <c r="A4" s="1" t="s">
        <v>2</v>
      </c>
      <c r="B4" s="1" t="s">
        <v>63</v>
      </c>
      <c r="C4" s="1" t="s">
        <v>64</v>
      </c>
      <c r="D4" s="1" t="s">
        <v>65</v>
      </c>
      <c r="E4" s="1" t="s">
        <v>64</v>
      </c>
      <c r="F4" s="1" t="s">
        <v>66</v>
      </c>
      <c r="G4" s="1" t="s">
        <v>64</v>
      </c>
      <c r="H4" s="11" t="s">
        <v>67</v>
      </c>
      <c r="I4" s="11" t="s">
        <v>68</v>
      </c>
      <c r="J4" s="11" t="s">
        <v>69</v>
      </c>
      <c r="K4" s="11" t="s">
        <v>70</v>
      </c>
      <c r="L4" s="11" t="s">
        <v>71</v>
      </c>
      <c r="M4" s="11" t="s">
        <v>72</v>
      </c>
      <c r="N4" s="11" t="s">
        <v>73</v>
      </c>
      <c r="O4" s="11" t="s">
        <v>74</v>
      </c>
    </row>
    <row r="5" spans="1:15" x14ac:dyDescent="0.2">
      <c r="A5" s="2">
        <f>DATE(2026,7,8)</f>
        <v>46211</v>
      </c>
      <c r="B5" s="3"/>
      <c r="C5" s="24"/>
      <c r="D5" s="19"/>
      <c r="E5" s="25"/>
      <c r="F5" s="19"/>
      <c r="G5" s="25"/>
      <c r="H5" s="12">
        <f t="shared" ref="H5:H42" si="0">IF($A5="",0,IF(AND(OR(NOT(ISNUMBER(LL_Start)),LL_Start=0,$A5&gt;=LL_Start),OR(NOT(ISNUMBER(LL_End)),LL_End=0,$A5&lt;=LL_End)),1,0))</f>
        <v>1</v>
      </c>
      <c r="I5" s="12">
        <f>IF($H5=1,($B5&lt;&gt;"")+($D5&lt;&gt;"")+($F5&lt;&gt;""),0)</f>
        <v>0</v>
      </c>
      <c r="J5" s="12">
        <f>IF(AND($H5=1,$B5&lt;&gt;"",ISNUMBER($C5)),IF(((('Lucy Levene'!B5=$B5)*ISNUMBER('Lucy Levene'!C5)*(ABS('Lucy Levene'!C5-$C5)&lt;VisitHrs/24)+('Lucy Levene'!D5=$B5)*ISNUMBER('Lucy Levene'!E5)*(ABS('Lucy Levene'!E5-$C5)&lt;VisitHrs/24)+('Lucy Levene'!F5=$B5)*ISNUMBER('Lucy Levene'!G5)*(ABS('Lucy Levene'!G5-$C5)&lt;VisitHrs/24)+('Tom Bock'!B5=$B5)*ISNUMBER('Tom Bock'!C5)*(ABS('Tom Bock'!C5-$C5)&lt;VisitHrs/24)+('Tom Bock'!D5=$B5)*ISNUMBER('Tom Bock'!E5)*(ABS('Tom Bock'!E5-$C5)&lt;VisitHrs/24)+('Tom Bock'!F5=$B5)*ISNUMBER('Tom Bock'!G5)*(ABS('Tom Bock'!G5-$C5)&lt;VisitHrs/24)+(Jeremy!B5=$B5)*ISNUMBER(Jeremy!C5)*(ABS(Jeremy!C5-$C5)&lt;VisitHrs/24)+(Jeremy!D5=$B5)*ISNUMBER(Jeremy!E5)*(ABS(Jeremy!E5-$C5)&lt;VisitHrs/24)+(Jeremy!F5=$B5)*ISNUMBER(Jeremy!G5)*(ABS(Jeremy!G5-$C5)&lt;VisitHrs/24)+('Test Patient'!B5=$B5)*ISNUMBER('Test Patient'!C5)*(ABS('Test Patient'!C5-$C5)&lt;VisitHrs/24)+('Test Patient'!D5=$B5)*ISNUMBER('Test Patient'!E5)*(ABS('Test Patient'!E5-$C5)&lt;VisitHrs/24)+('Test Patient'!F5=$B5)*ISNUMBER('Test Patient'!G5)*(ABS('Test Patient'!G5-$C5)&lt;VisitHrs/24))-1)+('Anita Klesch'!$B5=$B5)*($C5&lt;DayEnd)*($C5+VisitHrs/24&gt;DayStart)+('Anita Klesch'!$C5=$B5)*((($C5+VisitHrs/24&gt;DayEnd)+($C5&lt;DayStart))&gt;0)+('Test Patient 2'!$B5=$B5)*($C5&lt;DayEnd)*($C5+VisitHrs/24&gt;DayStart)+('Test Patient 2'!$C5=$B5)*((($C5+VisitHrs/24&gt;DayEnd)+($C5&lt;DayStart))&gt;0)&gt;=1,1,0),0)</f>
        <v>0</v>
      </c>
      <c r="K5" s="12">
        <f>IF(AND($H5=1,$D5&lt;&gt;"",ISNUMBER($E5)),IF(((('Lucy Levene'!B5=$D5)*ISNUMBER('Lucy Levene'!C5)*(ABS('Lucy Levene'!C5-$E5)&lt;VisitHrs/24)+('Lucy Levene'!D5=$D5)*ISNUMBER('Lucy Levene'!E5)*(ABS('Lucy Levene'!E5-$E5)&lt;VisitHrs/24)+('Lucy Levene'!F5=$D5)*ISNUMBER('Lucy Levene'!G5)*(ABS('Lucy Levene'!G5-$E5)&lt;VisitHrs/24)+('Tom Bock'!B5=$D5)*ISNUMBER('Tom Bock'!C5)*(ABS('Tom Bock'!C5-$E5)&lt;VisitHrs/24)+('Tom Bock'!D5=$D5)*ISNUMBER('Tom Bock'!E5)*(ABS('Tom Bock'!E5-$E5)&lt;VisitHrs/24)+('Tom Bock'!F5=$D5)*ISNUMBER('Tom Bock'!G5)*(ABS('Tom Bock'!G5-$E5)&lt;VisitHrs/24)+(Jeremy!B5=$D5)*ISNUMBER(Jeremy!C5)*(ABS(Jeremy!C5-$E5)&lt;VisitHrs/24)+(Jeremy!D5=$D5)*ISNUMBER(Jeremy!E5)*(ABS(Jeremy!E5-$E5)&lt;VisitHrs/24)+(Jeremy!F5=$D5)*ISNUMBER(Jeremy!G5)*(ABS(Jeremy!G5-$E5)&lt;VisitHrs/24)+('Test Patient'!B5=$D5)*ISNUMBER('Test Patient'!C5)*(ABS('Test Patient'!C5-$E5)&lt;VisitHrs/24)+('Test Patient'!D5=$D5)*ISNUMBER('Test Patient'!E5)*(ABS('Test Patient'!E5-$E5)&lt;VisitHrs/24)+('Test Patient'!F5=$D5)*ISNUMBER('Test Patient'!G5)*(ABS('Test Patient'!G5-$E5)&lt;VisitHrs/24))-1)+('Anita Klesch'!$B5=$D5)*($E5&lt;DayEnd)*($E5+VisitHrs/24&gt;DayStart)+('Anita Klesch'!$C5=$D5)*((($E5+VisitHrs/24&gt;DayEnd)+($E5&lt;DayStart))&gt;0)+('Test Patient 2'!$B5=$D5)*($E5&lt;DayEnd)*($E5+VisitHrs/24&gt;DayStart)+('Test Patient 2'!$C5=$D5)*((($E5+VisitHrs/24&gt;DayEnd)+($E5&lt;DayStart))&gt;0)&gt;=1,1,0),0)</f>
        <v>0</v>
      </c>
      <c r="L5" s="12">
        <f>IF(AND($H5=1,$F5&lt;&gt;"",ISNUMBER($G5)),IF(((('Lucy Levene'!B5=$F5)*ISNUMBER('Lucy Levene'!C5)*(ABS('Lucy Levene'!C5-$G5)&lt;VisitHrs/24)+('Lucy Levene'!D5=$F5)*ISNUMBER('Lucy Levene'!E5)*(ABS('Lucy Levene'!E5-$G5)&lt;VisitHrs/24)+('Lucy Levene'!F5=$F5)*ISNUMBER('Lucy Levene'!G5)*(ABS('Lucy Levene'!G5-$G5)&lt;VisitHrs/24)+('Tom Bock'!B5=$F5)*ISNUMBER('Tom Bock'!C5)*(ABS('Tom Bock'!C5-$G5)&lt;VisitHrs/24)+('Tom Bock'!D5=$F5)*ISNUMBER('Tom Bock'!E5)*(ABS('Tom Bock'!E5-$G5)&lt;VisitHrs/24)+('Tom Bock'!F5=$F5)*ISNUMBER('Tom Bock'!G5)*(ABS('Tom Bock'!G5-$G5)&lt;VisitHrs/24)+(Jeremy!B5=$F5)*ISNUMBER(Jeremy!C5)*(ABS(Jeremy!C5-$G5)&lt;VisitHrs/24)+(Jeremy!D5=$F5)*ISNUMBER(Jeremy!E5)*(ABS(Jeremy!E5-$G5)&lt;VisitHrs/24)+(Jeremy!F5=$F5)*ISNUMBER(Jeremy!G5)*(ABS(Jeremy!G5-$G5)&lt;VisitHrs/24)+('Test Patient'!B5=$F5)*ISNUMBER('Test Patient'!C5)*(ABS('Test Patient'!C5-$G5)&lt;VisitHrs/24)+('Test Patient'!D5=$F5)*ISNUMBER('Test Patient'!E5)*(ABS('Test Patient'!E5-$G5)&lt;VisitHrs/24)+('Test Patient'!F5=$F5)*ISNUMBER('Test Patient'!G5)*(ABS('Test Patient'!G5-$G5)&lt;VisitHrs/24))-1)+('Anita Klesch'!$B5=$F5)*($G5&lt;DayEnd)*($G5+VisitHrs/24&gt;DayStart)+('Anita Klesch'!$C5=$F5)*((($G5+VisitHrs/24&gt;DayEnd)+($G5&lt;DayStart))&gt;0)+('Test Patient 2'!$B5=$F5)*($G5&lt;DayEnd)*($G5+VisitHrs/24&gt;DayStart)+('Test Patient 2'!$C5=$F5)*((($G5+VisitHrs/24&gt;DayEnd)+($G5&lt;DayStart))&gt;0)&gt;=1,1,0),0)</f>
        <v>0</v>
      </c>
      <c r="M5" s="12">
        <f>IF($H5=1,$B5,"")</f>
        <v>0</v>
      </c>
      <c r="N5" s="12">
        <f>IF($H5=1,$D5,"")</f>
        <v>0</v>
      </c>
      <c r="O5" s="12">
        <f>IF($H5=1,$F5,"")</f>
        <v>0</v>
      </c>
    </row>
    <row r="6" spans="1:15" x14ac:dyDescent="0.2">
      <c r="A6" s="2">
        <f>A5+1</f>
        <v>46212</v>
      </c>
      <c r="B6" s="3"/>
      <c r="C6" s="24"/>
      <c r="D6" s="19" t="s">
        <v>14</v>
      </c>
      <c r="E6" s="25">
        <v>0.85416666666666707</v>
      </c>
      <c r="F6" s="19"/>
      <c r="G6" s="25"/>
      <c r="H6" s="12">
        <f t="shared" si="0"/>
        <v>1</v>
      </c>
      <c r="I6" s="12">
        <f t="shared" ref="I6:I42" si="1">IF($H6=1,($B6&lt;&gt;"")+($D6&lt;&gt;"")+($F6&lt;&gt;""),0)</f>
        <v>1</v>
      </c>
      <c r="J6" s="12">
        <f>IF(AND($H6=1,$B6&lt;&gt;"",ISNUMBER($C6)),IF(((('Lucy Levene'!B6=$B6)*ISNUMBER('Lucy Levene'!C6)*(ABS('Lucy Levene'!C6-$C6)&lt;VisitHrs/24)+('Lucy Levene'!D6=$B6)*ISNUMBER('Lucy Levene'!E6)*(ABS('Lucy Levene'!E6-$C6)&lt;VisitHrs/24)+('Lucy Levene'!F6=$B6)*ISNUMBER('Lucy Levene'!G6)*(ABS('Lucy Levene'!G6-$C6)&lt;VisitHrs/24)+('Tom Bock'!B6=$B6)*ISNUMBER('Tom Bock'!C6)*(ABS('Tom Bock'!C6-$C6)&lt;VisitHrs/24)+('Tom Bock'!D6=$B6)*ISNUMBER('Tom Bock'!E6)*(ABS('Tom Bock'!E6-$C6)&lt;VisitHrs/24)+('Tom Bock'!F6=$B6)*ISNUMBER('Tom Bock'!G6)*(ABS('Tom Bock'!G6-$C6)&lt;VisitHrs/24)+(Jeremy!B6=$B6)*ISNUMBER(Jeremy!C6)*(ABS(Jeremy!C6-$C6)&lt;VisitHrs/24)+(Jeremy!D6=$B6)*ISNUMBER(Jeremy!E6)*(ABS(Jeremy!E6-$C6)&lt;VisitHrs/24)+(Jeremy!F6=$B6)*ISNUMBER(Jeremy!G6)*(ABS(Jeremy!G6-$C6)&lt;VisitHrs/24)+('Test Patient'!B6=$B6)*ISNUMBER('Test Patient'!C6)*(ABS('Test Patient'!C6-$C6)&lt;VisitHrs/24)+('Test Patient'!D6=$B6)*ISNUMBER('Test Patient'!E6)*(ABS('Test Patient'!E6-$C6)&lt;VisitHrs/24)+('Test Patient'!F6=$B6)*ISNUMBER('Test Patient'!G6)*(ABS('Test Patient'!G6-$C6)&lt;VisitHrs/24))-1)+('Anita Klesch'!$B6=$B6)*($C6&lt;DayEnd)*($C6+VisitHrs/24&gt;DayStart)+('Anita Klesch'!$C6=$B6)*((($C6+VisitHrs/24&gt;DayEnd)+($C6&lt;DayStart))&gt;0)+('Test Patient 2'!$B6=$B6)*($C6&lt;DayEnd)*($C6+VisitHrs/24&gt;DayStart)+('Test Patient 2'!$C6=$B6)*((($C6+VisitHrs/24&gt;DayEnd)+($C6&lt;DayStart))&gt;0)&gt;=1,1,0),0)</f>
        <v>0</v>
      </c>
      <c r="K6" s="12">
        <f>IF(AND($H6=1,$D6&lt;&gt;"",ISNUMBER($E6)),IF(((('Lucy Levene'!B6=$D6)*ISNUMBER('Lucy Levene'!C6)*(ABS('Lucy Levene'!C6-$E6)&lt;VisitHrs/24)+('Lucy Levene'!D6=$D6)*ISNUMBER('Lucy Levene'!E6)*(ABS('Lucy Levene'!E6-$E6)&lt;VisitHrs/24)+('Lucy Levene'!F6=$D6)*ISNUMBER('Lucy Levene'!G6)*(ABS('Lucy Levene'!G6-$E6)&lt;VisitHrs/24)+('Tom Bock'!B6=$D6)*ISNUMBER('Tom Bock'!C6)*(ABS('Tom Bock'!C6-$E6)&lt;VisitHrs/24)+('Tom Bock'!D6=$D6)*ISNUMBER('Tom Bock'!E6)*(ABS('Tom Bock'!E6-$E6)&lt;VisitHrs/24)+('Tom Bock'!F6=$D6)*ISNUMBER('Tom Bock'!G6)*(ABS('Tom Bock'!G6-$E6)&lt;VisitHrs/24)+(Jeremy!B6=$D6)*ISNUMBER(Jeremy!C6)*(ABS(Jeremy!C6-$E6)&lt;VisitHrs/24)+(Jeremy!D6=$D6)*ISNUMBER(Jeremy!E6)*(ABS(Jeremy!E6-$E6)&lt;VisitHrs/24)+(Jeremy!F6=$D6)*ISNUMBER(Jeremy!G6)*(ABS(Jeremy!G6-$E6)&lt;VisitHrs/24)+('Test Patient'!B6=$D6)*ISNUMBER('Test Patient'!C6)*(ABS('Test Patient'!C6-$E6)&lt;VisitHrs/24)+('Test Patient'!D6=$D6)*ISNUMBER('Test Patient'!E6)*(ABS('Test Patient'!E6-$E6)&lt;VisitHrs/24)+('Test Patient'!F6=$D6)*ISNUMBER('Test Patient'!G6)*(ABS('Test Patient'!G6-$E6)&lt;VisitHrs/24))-1)+('Anita Klesch'!$B6=$D6)*($E6&lt;DayEnd)*($E6+VisitHrs/24&gt;DayStart)+('Anita Klesch'!$C6=$D6)*((($E6+VisitHrs/24&gt;DayEnd)+($E6&lt;DayStart))&gt;0)+('Test Patient 2'!$B6=$D6)*($E6&lt;DayEnd)*($E6+VisitHrs/24&gt;DayStart)+('Test Patient 2'!$C6=$D6)*((($E6+VisitHrs/24&gt;DayEnd)+($E6&lt;DayStart))&gt;0)&gt;=1,1,0),0)</f>
        <v>0</v>
      </c>
      <c r="L6" s="12">
        <f>IF(AND($H6=1,$F6&lt;&gt;"",ISNUMBER($G6)),IF(((('Lucy Levene'!B6=$F6)*ISNUMBER('Lucy Levene'!C6)*(ABS('Lucy Levene'!C6-$G6)&lt;VisitHrs/24)+('Lucy Levene'!D6=$F6)*ISNUMBER('Lucy Levene'!E6)*(ABS('Lucy Levene'!E6-$G6)&lt;VisitHrs/24)+('Lucy Levene'!F6=$F6)*ISNUMBER('Lucy Levene'!G6)*(ABS('Lucy Levene'!G6-$G6)&lt;VisitHrs/24)+('Tom Bock'!B6=$F6)*ISNUMBER('Tom Bock'!C6)*(ABS('Tom Bock'!C6-$G6)&lt;VisitHrs/24)+('Tom Bock'!D6=$F6)*ISNUMBER('Tom Bock'!E6)*(ABS('Tom Bock'!E6-$G6)&lt;VisitHrs/24)+('Tom Bock'!F6=$F6)*ISNUMBER('Tom Bock'!G6)*(ABS('Tom Bock'!G6-$G6)&lt;VisitHrs/24)+(Jeremy!B6=$F6)*ISNUMBER(Jeremy!C6)*(ABS(Jeremy!C6-$G6)&lt;VisitHrs/24)+(Jeremy!D6=$F6)*ISNUMBER(Jeremy!E6)*(ABS(Jeremy!E6-$G6)&lt;VisitHrs/24)+(Jeremy!F6=$F6)*ISNUMBER(Jeremy!G6)*(ABS(Jeremy!G6-$G6)&lt;VisitHrs/24)+('Test Patient'!B6=$F6)*ISNUMBER('Test Patient'!C6)*(ABS('Test Patient'!C6-$G6)&lt;VisitHrs/24)+('Test Patient'!D6=$F6)*ISNUMBER('Test Patient'!E6)*(ABS('Test Patient'!E6-$G6)&lt;VisitHrs/24)+('Test Patient'!F6=$F6)*ISNUMBER('Test Patient'!G6)*(ABS('Test Patient'!G6-$G6)&lt;VisitHrs/24))-1)+('Anita Klesch'!$B6=$F6)*($G6&lt;DayEnd)*($G6+VisitHrs/24&gt;DayStart)+('Anita Klesch'!$C6=$F6)*((($G6+VisitHrs/24&gt;DayEnd)+($G6&lt;DayStart))&gt;0)+('Test Patient 2'!$B6=$F6)*($G6&lt;DayEnd)*($G6+VisitHrs/24&gt;DayStart)+('Test Patient 2'!$C6=$F6)*((($G6+VisitHrs/24&gt;DayEnd)+($G6&lt;DayStart))&gt;0)&gt;=1,1,0),0)</f>
        <v>0</v>
      </c>
      <c r="M6" s="12">
        <f t="shared" ref="M6:M42" si="2">IF($H6=1,$B6,"")</f>
        <v>0</v>
      </c>
      <c r="N6" s="12" t="str">
        <f t="shared" ref="N6:N42" si="3">IF($H6=1,$D6,"")</f>
        <v>Roderick</v>
      </c>
      <c r="O6" s="12">
        <f t="shared" ref="O6:O42" si="4">IF($H6=1,$F6,"")</f>
        <v>0</v>
      </c>
    </row>
    <row r="7" spans="1:15" x14ac:dyDescent="0.2">
      <c r="A7" s="2">
        <f t="shared" ref="A7:A42" si="5">A6+1</f>
        <v>46213</v>
      </c>
      <c r="B7" s="3" t="s">
        <v>13</v>
      </c>
      <c r="C7" s="24">
        <v>0.35416666666666657</v>
      </c>
      <c r="D7" s="19" t="s">
        <v>13</v>
      </c>
      <c r="E7" s="25"/>
      <c r="F7" s="19"/>
      <c r="G7" s="25"/>
      <c r="H7" s="12">
        <f t="shared" si="0"/>
        <v>1</v>
      </c>
      <c r="I7" s="12">
        <f t="shared" si="1"/>
        <v>2</v>
      </c>
      <c r="J7" s="12">
        <f>IF(AND($H7=1,$B7&lt;&gt;"",ISNUMBER($C7)),IF(((('Lucy Levene'!B7=$B7)*ISNUMBER('Lucy Levene'!C7)*(ABS('Lucy Levene'!C7-$C7)&lt;VisitHrs/24)+('Lucy Levene'!D7=$B7)*ISNUMBER('Lucy Levene'!E7)*(ABS('Lucy Levene'!E7-$C7)&lt;VisitHrs/24)+('Lucy Levene'!F7=$B7)*ISNUMBER('Lucy Levene'!G7)*(ABS('Lucy Levene'!G7-$C7)&lt;VisitHrs/24)+('Tom Bock'!B7=$B7)*ISNUMBER('Tom Bock'!C7)*(ABS('Tom Bock'!C7-$C7)&lt;VisitHrs/24)+('Tom Bock'!D7=$B7)*ISNUMBER('Tom Bock'!E7)*(ABS('Tom Bock'!E7-$C7)&lt;VisitHrs/24)+('Tom Bock'!F7=$B7)*ISNUMBER('Tom Bock'!G7)*(ABS('Tom Bock'!G7-$C7)&lt;VisitHrs/24)+(Jeremy!B7=$B7)*ISNUMBER(Jeremy!C7)*(ABS(Jeremy!C7-$C7)&lt;VisitHrs/24)+(Jeremy!D7=$B7)*ISNUMBER(Jeremy!E7)*(ABS(Jeremy!E7-$C7)&lt;VisitHrs/24)+(Jeremy!F7=$B7)*ISNUMBER(Jeremy!G7)*(ABS(Jeremy!G7-$C7)&lt;VisitHrs/24)+('Test Patient'!B7=$B7)*ISNUMBER('Test Patient'!C7)*(ABS('Test Patient'!C7-$C7)&lt;VisitHrs/24)+('Test Patient'!D7=$B7)*ISNUMBER('Test Patient'!E7)*(ABS('Test Patient'!E7-$C7)&lt;VisitHrs/24)+('Test Patient'!F7=$B7)*ISNUMBER('Test Patient'!G7)*(ABS('Test Patient'!G7-$C7)&lt;VisitHrs/24))-1)+('Anita Klesch'!$B7=$B7)*($C7&lt;DayEnd)*($C7+VisitHrs/24&gt;DayStart)+('Anita Klesch'!$C7=$B7)*((($C7+VisitHrs/24&gt;DayEnd)+($C7&lt;DayStart))&gt;0)+('Test Patient 2'!$B7=$B7)*($C7&lt;DayEnd)*($C7+VisitHrs/24&gt;DayStart)+('Test Patient 2'!$C7=$B7)*((($C7+VisitHrs/24&gt;DayEnd)+($C7&lt;DayStart))&gt;0)&gt;=1,1,0),0)</f>
        <v>0</v>
      </c>
      <c r="K7" s="12">
        <f>IF(AND($H7=1,$D7&lt;&gt;"",ISNUMBER($E7)),IF(((('Lucy Levene'!B7=$D7)*ISNUMBER('Lucy Levene'!C7)*(ABS('Lucy Levene'!C7-$E7)&lt;VisitHrs/24)+('Lucy Levene'!D7=$D7)*ISNUMBER('Lucy Levene'!E7)*(ABS('Lucy Levene'!E7-$E7)&lt;VisitHrs/24)+('Lucy Levene'!F7=$D7)*ISNUMBER('Lucy Levene'!G7)*(ABS('Lucy Levene'!G7-$E7)&lt;VisitHrs/24)+('Tom Bock'!B7=$D7)*ISNUMBER('Tom Bock'!C7)*(ABS('Tom Bock'!C7-$E7)&lt;VisitHrs/24)+('Tom Bock'!D7=$D7)*ISNUMBER('Tom Bock'!E7)*(ABS('Tom Bock'!E7-$E7)&lt;VisitHrs/24)+('Tom Bock'!F7=$D7)*ISNUMBER('Tom Bock'!G7)*(ABS('Tom Bock'!G7-$E7)&lt;VisitHrs/24)+(Jeremy!B7=$D7)*ISNUMBER(Jeremy!C7)*(ABS(Jeremy!C7-$E7)&lt;VisitHrs/24)+(Jeremy!D7=$D7)*ISNUMBER(Jeremy!E7)*(ABS(Jeremy!E7-$E7)&lt;VisitHrs/24)+(Jeremy!F7=$D7)*ISNUMBER(Jeremy!G7)*(ABS(Jeremy!G7-$E7)&lt;VisitHrs/24)+('Test Patient'!B7=$D7)*ISNUMBER('Test Patient'!C7)*(ABS('Test Patient'!C7-$E7)&lt;VisitHrs/24)+('Test Patient'!D7=$D7)*ISNUMBER('Test Patient'!E7)*(ABS('Test Patient'!E7-$E7)&lt;VisitHrs/24)+('Test Patient'!F7=$D7)*ISNUMBER('Test Patient'!G7)*(ABS('Test Patient'!G7-$E7)&lt;VisitHrs/24))-1)+('Anita Klesch'!$B7=$D7)*($E7&lt;DayEnd)*($E7+VisitHrs/24&gt;DayStart)+('Anita Klesch'!$C7=$D7)*((($E7+VisitHrs/24&gt;DayEnd)+($E7&lt;DayStart))&gt;0)+('Test Patient 2'!$B7=$D7)*($E7&lt;DayEnd)*($E7+VisitHrs/24&gt;DayStart)+('Test Patient 2'!$C7=$D7)*((($E7+VisitHrs/24&gt;DayEnd)+($E7&lt;DayStart))&gt;0)&gt;=1,1,0),0)</f>
        <v>0</v>
      </c>
      <c r="L7" s="12">
        <f>IF(AND($H7=1,$F7&lt;&gt;"",ISNUMBER($G7)),IF(((('Lucy Levene'!B7=$F7)*ISNUMBER('Lucy Levene'!C7)*(ABS('Lucy Levene'!C7-$G7)&lt;VisitHrs/24)+('Lucy Levene'!D7=$F7)*ISNUMBER('Lucy Levene'!E7)*(ABS('Lucy Levene'!E7-$G7)&lt;VisitHrs/24)+('Lucy Levene'!F7=$F7)*ISNUMBER('Lucy Levene'!G7)*(ABS('Lucy Levene'!G7-$G7)&lt;VisitHrs/24)+('Tom Bock'!B7=$F7)*ISNUMBER('Tom Bock'!C7)*(ABS('Tom Bock'!C7-$G7)&lt;VisitHrs/24)+('Tom Bock'!D7=$F7)*ISNUMBER('Tom Bock'!E7)*(ABS('Tom Bock'!E7-$G7)&lt;VisitHrs/24)+('Tom Bock'!F7=$F7)*ISNUMBER('Tom Bock'!G7)*(ABS('Tom Bock'!G7-$G7)&lt;VisitHrs/24)+(Jeremy!B7=$F7)*ISNUMBER(Jeremy!C7)*(ABS(Jeremy!C7-$G7)&lt;VisitHrs/24)+(Jeremy!D7=$F7)*ISNUMBER(Jeremy!E7)*(ABS(Jeremy!E7-$G7)&lt;VisitHrs/24)+(Jeremy!F7=$F7)*ISNUMBER(Jeremy!G7)*(ABS(Jeremy!G7-$G7)&lt;VisitHrs/24)+('Test Patient'!B7=$F7)*ISNUMBER('Test Patient'!C7)*(ABS('Test Patient'!C7-$G7)&lt;VisitHrs/24)+('Test Patient'!D7=$F7)*ISNUMBER('Test Patient'!E7)*(ABS('Test Patient'!E7-$G7)&lt;VisitHrs/24)+('Test Patient'!F7=$F7)*ISNUMBER('Test Patient'!G7)*(ABS('Test Patient'!G7-$G7)&lt;VisitHrs/24))-1)+('Anita Klesch'!$B7=$F7)*($G7&lt;DayEnd)*($G7+VisitHrs/24&gt;DayStart)+('Anita Klesch'!$C7=$F7)*((($G7+VisitHrs/24&gt;DayEnd)+($G7&lt;DayStart))&gt;0)+('Test Patient 2'!$B7=$F7)*($G7&lt;DayEnd)*($G7+VisitHrs/24&gt;DayStart)+('Test Patient 2'!$C7=$F7)*((($G7+VisitHrs/24&gt;DayEnd)+($G7&lt;DayStart))&gt;0)&gt;=1,1,0),0)</f>
        <v>0</v>
      </c>
      <c r="M7" s="12" t="str">
        <f t="shared" si="2"/>
        <v>Billie</v>
      </c>
      <c r="N7" s="12" t="str">
        <f t="shared" si="3"/>
        <v>Billie</v>
      </c>
      <c r="O7" s="12">
        <f t="shared" si="4"/>
        <v>0</v>
      </c>
    </row>
    <row r="8" spans="1:15" x14ac:dyDescent="0.2">
      <c r="A8" s="2">
        <f t="shared" si="5"/>
        <v>46214</v>
      </c>
      <c r="B8" s="3" t="s">
        <v>14</v>
      </c>
      <c r="C8" s="24"/>
      <c r="D8" s="19" t="s">
        <v>14</v>
      </c>
      <c r="E8" s="25"/>
      <c r="F8" s="19"/>
      <c r="G8" s="25"/>
      <c r="H8" s="12">
        <f t="shared" si="0"/>
        <v>1</v>
      </c>
      <c r="I8" s="12">
        <f t="shared" si="1"/>
        <v>2</v>
      </c>
      <c r="J8" s="12">
        <f>IF(AND($H8=1,$B8&lt;&gt;"",ISNUMBER($C8)),IF(((('Lucy Levene'!B8=$B8)*ISNUMBER('Lucy Levene'!C8)*(ABS('Lucy Levene'!C8-$C8)&lt;VisitHrs/24)+('Lucy Levene'!D8=$B8)*ISNUMBER('Lucy Levene'!E8)*(ABS('Lucy Levene'!E8-$C8)&lt;VisitHrs/24)+('Lucy Levene'!F8=$B8)*ISNUMBER('Lucy Levene'!G8)*(ABS('Lucy Levene'!G8-$C8)&lt;VisitHrs/24)+('Tom Bock'!B8=$B8)*ISNUMBER('Tom Bock'!C8)*(ABS('Tom Bock'!C8-$C8)&lt;VisitHrs/24)+('Tom Bock'!D8=$B8)*ISNUMBER('Tom Bock'!E8)*(ABS('Tom Bock'!E8-$C8)&lt;VisitHrs/24)+('Tom Bock'!F8=$B8)*ISNUMBER('Tom Bock'!G8)*(ABS('Tom Bock'!G8-$C8)&lt;VisitHrs/24)+(Jeremy!B8=$B8)*ISNUMBER(Jeremy!C8)*(ABS(Jeremy!C8-$C8)&lt;VisitHrs/24)+(Jeremy!D8=$B8)*ISNUMBER(Jeremy!E8)*(ABS(Jeremy!E8-$C8)&lt;VisitHrs/24)+(Jeremy!F8=$B8)*ISNUMBER(Jeremy!G8)*(ABS(Jeremy!G8-$C8)&lt;VisitHrs/24)+('Test Patient'!B8=$B8)*ISNUMBER('Test Patient'!C8)*(ABS('Test Patient'!C8-$C8)&lt;VisitHrs/24)+('Test Patient'!D8=$B8)*ISNUMBER('Test Patient'!E8)*(ABS('Test Patient'!E8-$C8)&lt;VisitHrs/24)+('Test Patient'!F8=$B8)*ISNUMBER('Test Patient'!G8)*(ABS('Test Patient'!G8-$C8)&lt;VisitHrs/24))-1)+('Anita Klesch'!$B8=$B8)*($C8&lt;DayEnd)*($C8+VisitHrs/24&gt;DayStart)+('Anita Klesch'!$C8=$B8)*((($C8+VisitHrs/24&gt;DayEnd)+($C8&lt;DayStart))&gt;0)+('Test Patient 2'!$B8=$B8)*($C8&lt;DayEnd)*($C8+VisitHrs/24&gt;DayStart)+('Test Patient 2'!$C8=$B8)*((($C8+VisitHrs/24&gt;DayEnd)+($C8&lt;DayStart))&gt;0)&gt;=1,1,0),0)</f>
        <v>0</v>
      </c>
      <c r="K8" s="12">
        <f>IF(AND($H8=1,$D8&lt;&gt;"",ISNUMBER($E8)),IF(((('Lucy Levene'!B8=$D8)*ISNUMBER('Lucy Levene'!C8)*(ABS('Lucy Levene'!C8-$E8)&lt;VisitHrs/24)+('Lucy Levene'!D8=$D8)*ISNUMBER('Lucy Levene'!E8)*(ABS('Lucy Levene'!E8-$E8)&lt;VisitHrs/24)+('Lucy Levene'!F8=$D8)*ISNUMBER('Lucy Levene'!G8)*(ABS('Lucy Levene'!G8-$E8)&lt;VisitHrs/24)+('Tom Bock'!B8=$D8)*ISNUMBER('Tom Bock'!C8)*(ABS('Tom Bock'!C8-$E8)&lt;VisitHrs/24)+('Tom Bock'!D8=$D8)*ISNUMBER('Tom Bock'!E8)*(ABS('Tom Bock'!E8-$E8)&lt;VisitHrs/24)+('Tom Bock'!F8=$D8)*ISNUMBER('Tom Bock'!G8)*(ABS('Tom Bock'!G8-$E8)&lt;VisitHrs/24)+(Jeremy!B8=$D8)*ISNUMBER(Jeremy!C8)*(ABS(Jeremy!C8-$E8)&lt;VisitHrs/24)+(Jeremy!D8=$D8)*ISNUMBER(Jeremy!E8)*(ABS(Jeremy!E8-$E8)&lt;VisitHrs/24)+(Jeremy!F8=$D8)*ISNUMBER(Jeremy!G8)*(ABS(Jeremy!G8-$E8)&lt;VisitHrs/24)+('Test Patient'!B8=$D8)*ISNUMBER('Test Patient'!C8)*(ABS('Test Patient'!C8-$E8)&lt;VisitHrs/24)+('Test Patient'!D8=$D8)*ISNUMBER('Test Patient'!E8)*(ABS('Test Patient'!E8-$E8)&lt;VisitHrs/24)+('Test Patient'!F8=$D8)*ISNUMBER('Test Patient'!G8)*(ABS('Test Patient'!G8-$E8)&lt;VisitHrs/24))-1)+('Anita Klesch'!$B8=$D8)*($E8&lt;DayEnd)*($E8+VisitHrs/24&gt;DayStart)+('Anita Klesch'!$C8=$D8)*((($E8+VisitHrs/24&gt;DayEnd)+($E8&lt;DayStart))&gt;0)+('Test Patient 2'!$B8=$D8)*($E8&lt;DayEnd)*($E8+VisitHrs/24&gt;DayStart)+('Test Patient 2'!$C8=$D8)*((($E8+VisitHrs/24&gt;DayEnd)+($E8&lt;DayStart))&gt;0)&gt;=1,1,0),0)</f>
        <v>0</v>
      </c>
      <c r="L8" s="12">
        <f>IF(AND($H8=1,$F8&lt;&gt;"",ISNUMBER($G8)),IF(((('Lucy Levene'!B8=$F8)*ISNUMBER('Lucy Levene'!C8)*(ABS('Lucy Levene'!C8-$G8)&lt;VisitHrs/24)+('Lucy Levene'!D8=$F8)*ISNUMBER('Lucy Levene'!E8)*(ABS('Lucy Levene'!E8-$G8)&lt;VisitHrs/24)+('Lucy Levene'!F8=$F8)*ISNUMBER('Lucy Levene'!G8)*(ABS('Lucy Levene'!G8-$G8)&lt;VisitHrs/24)+('Tom Bock'!B8=$F8)*ISNUMBER('Tom Bock'!C8)*(ABS('Tom Bock'!C8-$G8)&lt;VisitHrs/24)+('Tom Bock'!D8=$F8)*ISNUMBER('Tom Bock'!E8)*(ABS('Tom Bock'!E8-$G8)&lt;VisitHrs/24)+('Tom Bock'!F8=$F8)*ISNUMBER('Tom Bock'!G8)*(ABS('Tom Bock'!G8-$G8)&lt;VisitHrs/24)+(Jeremy!B8=$F8)*ISNUMBER(Jeremy!C8)*(ABS(Jeremy!C8-$G8)&lt;VisitHrs/24)+(Jeremy!D8=$F8)*ISNUMBER(Jeremy!E8)*(ABS(Jeremy!E8-$G8)&lt;VisitHrs/24)+(Jeremy!F8=$F8)*ISNUMBER(Jeremy!G8)*(ABS(Jeremy!G8-$G8)&lt;VisitHrs/24)+('Test Patient'!B8=$F8)*ISNUMBER('Test Patient'!C8)*(ABS('Test Patient'!C8-$G8)&lt;VisitHrs/24)+('Test Patient'!D8=$F8)*ISNUMBER('Test Patient'!E8)*(ABS('Test Patient'!E8-$G8)&lt;VisitHrs/24)+('Test Patient'!F8=$F8)*ISNUMBER('Test Patient'!G8)*(ABS('Test Patient'!G8-$G8)&lt;VisitHrs/24))-1)+('Anita Klesch'!$B8=$F8)*($G8&lt;DayEnd)*($G8+VisitHrs/24&gt;DayStart)+('Anita Klesch'!$C8=$F8)*((($G8+VisitHrs/24&gt;DayEnd)+($G8&lt;DayStart))&gt;0)+('Test Patient 2'!$B8=$F8)*($G8&lt;DayEnd)*($G8+VisitHrs/24&gt;DayStart)+('Test Patient 2'!$C8=$F8)*((($G8+VisitHrs/24&gt;DayEnd)+($G8&lt;DayStart))&gt;0)&gt;=1,1,0),0)</f>
        <v>0</v>
      </c>
      <c r="M8" s="12" t="str">
        <f t="shared" si="2"/>
        <v>Roderick</v>
      </c>
      <c r="N8" s="12" t="str">
        <f t="shared" si="3"/>
        <v>Roderick</v>
      </c>
      <c r="O8" s="12">
        <f t="shared" si="4"/>
        <v>0</v>
      </c>
    </row>
    <row r="9" spans="1:15" x14ac:dyDescent="0.2">
      <c r="A9" s="2">
        <f t="shared" si="5"/>
        <v>46215</v>
      </c>
      <c r="B9" s="3" t="s">
        <v>14</v>
      </c>
      <c r="C9" s="24"/>
      <c r="D9" s="19" t="s">
        <v>14</v>
      </c>
      <c r="E9" s="25"/>
      <c r="F9" s="19"/>
      <c r="G9" s="25"/>
      <c r="H9" s="12">
        <f t="shared" si="0"/>
        <v>1</v>
      </c>
      <c r="I9" s="12">
        <f t="shared" si="1"/>
        <v>2</v>
      </c>
      <c r="J9" s="12">
        <f>IF(AND($H9=1,$B9&lt;&gt;"",ISNUMBER($C9)),IF(((('Lucy Levene'!B9=$B9)*ISNUMBER('Lucy Levene'!C9)*(ABS('Lucy Levene'!C9-$C9)&lt;VisitHrs/24)+('Lucy Levene'!D9=$B9)*ISNUMBER('Lucy Levene'!E9)*(ABS('Lucy Levene'!E9-$C9)&lt;VisitHrs/24)+('Lucy Levene'!F9=$B9)*ISNUMBER('Lucy Levene'!G9)*(ABS('Lucy Levene'!G9-$C9)&lt;VisitHrs/24)+('Tom Bock'!B9=$B9)*ISNUMBER('Tom Bock'!C9)*(ABS('Tom Bock'!C9-$C9)&lt;VisitHrs/24)+('Tom Bock'!D9=$B9)*ISNUMBER('Tom Bock'!E9)*(ABS('Tom Bock'!E9-$C9)&lt;VisitHrs/24)+('Tom Bock'!F9=$B9)*ISNUMBER('Tom Bock'!G9)*(ABS('Tom Bock'!G9-$C9)&lt;VisitHrs/24)+(Jeremy!B9=$B9)*ISNUMBER(Jeremy!C9)*(ABS(Jeremy!C9-$C9)&lt;VisitHrs/24)+(Jeremy!D9=$B9)*ISNUMBER(Jeremy!E9)*(ABS(Jeremy!E9-$C9)&lt;VisitHrs/24)+(Jeremy!F9=$B9)*ISNUMBER(Jeremy!G9)*(ABS(Jeremy!G9-$C9)&lt;VisitHrs/24)+('Test Patient'!B9=$B9)*ISNUMBER('Test Patient'!C9)*(ABS('Test Patient'!C9-$C9)&lt;VisitHrs/24)+('Test Patient'!D9=$B9)*ISNUMBER('Test Patient'!E9)*(ABS('Test Patient'!E9-$C9)&lt;VisitHrs/24)+('Test Patient'!F9=$B9)*ISNUMBER('Test Patient'!G9)*(ABS('Test Patient'!G9-$C9)&lt;VisitHrs/24))-1)+('Anita Klesch'!$B9=$B9)*($C9&lt;DayEnd)*($C9+VisitHrs/24&gt;DayStart)+('Anita Klesch'!$C9=$B9)*((($C9+VisitHrs/24&gt;DayEnd)+($C9&lt;DayStart))&gt;0)+('Test Patient 2'!$B9=$B9)*($C9&lt;DayEnd)*($C9+VisitHrs/24&gt;DayStart)+('Test Patient 2'!$C9=$B9)*((($C9+VisitHrs/24&gt;DayEnd)+($C9&lt;DayStart))&gt;0)&gt;=1,1,0),0)</f>
        <v>0</v>
      </c>
      <c r="K9" s="12">
        <f>IF(AND($H9=1,$D9&lt;&gt;"",ISNUMBER($E9)),IF(((('Lucy Levene'!B9=$D9)*ISNUMBER('Lucy Levene'!C9)*(ABS('Lucy Levene'!C9-$E9)&lt;VisitHrs/24)+('Lucy Levene'!D9=$D9)*ISNUMBER('Lucy Levene'!E9)*(ABS('Lucy Levene'!E9-$E9)&lt;VisitHrs/24)+('Lucy Levene'!F9=$D9)*ISNUMBER('Lucy Levene'!G9)*(ABS('Lucy Levene'!G9-$E9)&lt;VisitHrs/24)+('Tom Bock'!B9=$D9)*ISNUMBER('Tom Bock'!C9)*(ABS('Tom Bock'!C9-$E9)&lt;VisitHrs/24)+('Tom Bock'!D9=$D9)*ISNUMBER('Tom Bock'!E9)*(ABS('Tom Bock'!E9-$E9)&lt;VisitHrs/24)+('Tom Bock'!F9=$D9)*ISNUMBER('Tom Bock'!G9)*(ABS('Tom Bock'!G9-$E9)&lt;VisitHrs/24)+(Jeremy!B9=$D9)*ISNUMBER(Jeremy!C9)*(ABS(Jeremy!C9-$E9)&lt;VisitHrs/24)+(Jeremy!D9=$D9)*ISNUMBER(Jeremy!E9)*(ABS(Jeremy!E9-$E9)&lt;VisitHrs/24)+(Jeremy!F9=$D9)*ISNUMBER(Jeremy!G9)*(ABS(Jeremy!G9-$E9)&lt;VisitHrs/24)+('Test Patient'!B9=$D9)*ISNUMBER('Test Patient'!C9)*(ABS('Test Patient'!C9-$E9)&lt;VisitHrs/24)+('Test Patient'!D9=$D9)*ISNUMBER('Test Patient'!E9)*(ABS('Test Patient'!E9-$E9)&lt;VisitHrs/24)+('Test Patient'!F9=$D9)*ISNUMBER('Test Patient'!G9)*(ABS('Test Patient'!G9-$E9)&lt;VisitHrs/24))-1)+('Anita Klesch'!$B9=$D9)*($E9&lt;DayEnd)*($E9+VisitHrs/24&gt;DayStart)+('Anita Klesch'!$C9=$D9)*((($E9+VisitHrs/24&gt;DayEnd)+($E9&lt;DayStart))&gt;0)+('Test Patient 2'!$B9=$D9)*($E9&lt;DayEnd)*($E9+VisitHrs/24&gt;DayStart)+('Test Patient 2'!$C9=$D9)*((($E9+VisitHrs/24&gt;DayEnd)+($E9&lt;DayStart))&gt;0)&gt;=1,1,0),0)</f>
        <v>0</v>
      </c>
      <c r="L9" s="12">
        <f>IF(AND($H9=1,$F9&lt;&gt;"",ISNUMBER($G9)),IF(((('Lucy Levene'!B9=$F9)*ISNUMBER('Lucy Levene'!C9)*(ABS('Lucy Levene'!C9-$G9)&lt;VisitHrs/24)+('Lucy Levene'!D9=$F9)*ISNUMBER('Lucy Levene'!E9)*(ABS('Lucy Levene'!E9-$G9)&lt;VisitHrs/24)+('Lucy Levene'!F9=$F9)*ISNUMBER('Lucy Levene'!G9)*(ABS('Lucy Levene'!G9-$G9)&lt;VisitHrs/24)+('Tom Bock'!B9=$F9)*ISNUMBER('Tom Bock'!C9)*(ABS('Tom Bock'!C9-$G9)&lt;VisitHrs/24)+('Tom Bock'!D9=$F9)*ISNUMBER('Tom Bock'!E9)*(ABS('Tom Bock'!E9-$G9)&lt;VisitHrs/24)+('Tom Bock'!F9=$F9)*ISNUMBER('Tom Bock'!G9)*(ABS('Tom Bock'!G9-$G9)&lt;VisitHrs/24)+(Jeremy!B9=$F9)*ISNUMBER(Jeremy!C9)*(ABS(Jeremy!C9-$G9)&lt;VisitHrs/24)+(Jeremy!D9=$F9)*ISNUMBER(Jeremy!E9)*(ABS(Jeremy!E9-$G9)&lt;VisitHrs/24)+(Jeremy!F9=$F9)*ISNUMBER(Jeremy!G9)*(ABS(Jeremy!G9-$G9)&lt;VisitHrs/24)+('Test Patient'!B9=$F9)*ISNUMBER('Test Patient'!C9)*(ABS('Test Patient'!C9-$G9)&lt;VisitHrs/24)+('Test Patient'!D9=$F9)*ISNUMBER('Test Patient'!E9)*(ABS('Test Patient'!E9-$G9)&lt;VisitHrs/24)+('Test Patient'!F9=$F9)*ISNUMBER('Test Patient'!G9)*(ABS('Test Patient'!G9-$G9)&lt;VisitHrs/24))-1)+('Anita Klesch'!$B9=$F9)*($G9&lt;DayEnd)*($G9+VisitHrs/24&gt;DayStart)+('Anita Klesch'!$C9=$F9)*((($G9+VisitHrs/24&gt;DayEnd)+($G9&lt;DayStart))&gt;0)+('Test Patient 2'!$B9=$F9)*($G9&lt;DayEnd)*($G9+VisitHrs/24&gt;DayStart)+('Test Patient 2'!$C9=$F9)*((($G9+VisitHrs/24&gt;DayEnd)+($G9&lt;DayStart))&gt;0)&gt;=1,1,0),0)</f>
        <v>0</v>
      </c>
      <c r="M9" s="12" t="str">
        <f t="shared" si="2"/>
        <v>Roderick</v>
      </c>
      <c r="N9" s="12" t="str">
        <f t="shared" si="3"/>
        <v>Roderick</v>
      </c>
      <c r="O9" s="12">
        <f t="shared" si="4"/>
        <v>0</v>
      </c>
    </row>
    <row r="10" spans="1:15" x14ac:dyDescent="0.2">
      <c r="A10" s="2">
        <f t="shared" si="5"/>
        <v>46216</v>
      </c>
      <c r="B10" s="3" t="s">
        <v>13</v>
      </c>
      <c r="C10" s="24"/>
      <c r="D10" s="19" t="s">
        <v>14</v>
      </c>
      <c r="E10" s="25"/>
      <c r="F10" s="19"/>
      <c r="G10" s="25"/>
      <c r="H10" s="12">
        <f t="shared" si="0"/>
        <v>1</v>
      </c>
      <c r="I10" s="12">
        <f t="shared" si="1"/>
        <v>2</v>
      </c>
      <c r="J10" s="12">
        <f>IF(AND($H10=1,$B10&lt;&gt;"",ISNUMBER($C10)),IF(((('Lucy Levene'!B10=$B10)*ISNUMBER('Lucy Levene'!C10)*(ABS('Lucy Levene'!C10-$C10)&lt;VisitHrs/24)+('Lucy Levene'!D10=$B10)*ISNUMBER('Lucy Levene'!E10)*(ABS('Lucy Levene'!E10-$C10)&lt;VisitHrs/24)+('Lucy Levene'!F10=$B10)*ISNUMBER('Lucy Levene'!G10)*(ABS('Lucy Levene'!G10-$C10)&lt;VisitHrs/24)+('Tom Bock'!B10=$B10)*ISNUMBER('Tom Bock'!C10)*(ABS('Tom Bock'!C10-$C10)&lt;VisitHrs/24)+('Tom Bock'!D10=$B10)*ISNUMBER('Tom Bock'!E10)*(ABS('Tom Bock'!E10-$C10)&lt;VisitHrs/24)+('Tom Bock'!F10=$B10)*ISNUMBER('Tom Bock'!G10)*(ABS('Tom Bock'!G10-$C10)&lt;VisitHrs/24)+(Jeremy!B10=$B10)*ISNUMBER(Jeremy!C10)*(ABS(Jeremy!C10-$C10)&lt;VisitHrs/24)+(Jeremy!D10=$B10)*ISNUMBER(Jeremy!E10)*(ABS(Jeremy!E10-$C10)&lt;VisitHrs/24)+(Jeremy!F10=$B10)*ISNUMBER(Jeremy!G10)*(ABS(Jeremy!G10-$C10)&lt;VisitHrs/24)+('Test Patient'!B10=$B10)*ISNUMBER('Test Patient'!C10)*(ABS('Test Patient'!C10-$C10)&lt;VisitHrs/24)+('Test Patient'!D10=$B10)*ISNUMBER('Test Patient'!E10)*(ABS('Test Patient'!E10-$C10)&lt;VisitHrs/24)+('Test Patient'!F10=$B10)*ISNUMBER('Test Patient'!G10)*(ABS('Test Patient'!G10-$C10)&lt;VisitHrs/24))-1)+('Anita Klesch'!$B10=$B10)*($C10&lt;DayEnd)*($C10+VisitHrs/24&gt;DayStart)+('Anita Klesch'!$C10=$B10)*((($C10+VisitHrs/24&gt;DayEnd)+($C10&lt;DayStart))&gt;0)+('Test Patient 2'!$B10=$B10)*($C10&lt;DayEnd)*($C10+VisitHrs/24&gt;DayStart)+('Test Patient 2'!$C10=$B10)*((($C10+VisitHrs/24&gt;DayEnd)+($C10&lt;DayStart))&gt;0)&gt;=1,1,0),0)</f>
        <v>0</v>
      </c>
      <c r="K10" s="12">
        <f>IF(AND($H10=1,$D10&lt;&gt;"",ISNUMBER($E10)),IF(((('Lucy Levene'!B10=$D10)*ISNUMBER('Lucy Levene'!C10)*(ABS('Lucy Levene'!C10-$E10)&lt;VisitHrs/24)+('Lucy Levene'!D10=$D10)*ISNUMBER('Lucy Levene'!E10)*(ABS('Lucy Levene'!E10-$E10)&lt;VisitHrs/24)+('Lucy Levene'!F10=$D10)*ISNUMBER('Lucy Levene'!G10)*(ABS('Lucy Levene'!G10-$E10)&lt;VisitHrs/24)+('Tom Bock'!B10=$D10)*ISNUMBER('Tom Bock'!C10)*(ABS('Tom Bock'!C10-$E10)&lt;VisitHrs/24)+('Tom Bock'!D10=$D10)*ISNUMBER('Tom Bock'!E10)*(ABS('Tom Bock'!E10-$E10)&lt;VisitHrs/24)+('Tom Bock'!F10=$D10)*ISNUMBER('Tom Bock'!G10)*(ABS('Tom Bock'!G10-$E10)&lt;VisitHrs/24)+(Jeremy!B10=$D10)*ISNUMBER(Jeremy!C10)*(ABS(Jeremy!C10-$E10)&lt;VisitHrs/24)+(Jeremy!D10=$D10)*ISNUMBER(Jeremy!E10)*(ABS(Jeremy!E10-$E10)&lt;VisitHrs/24)+(Jeremy!F10=$D10)*ISNUMBER(Jeremy!G10)*(ABS(Jeremy!G10-$E10)&lt;VisitHrs/24)+('Test Patient'!B10=$D10)*ISNUMBER('Test Patient'!C10)*(ABS('Test Patient'!C10-$E10)&lt;VisitHrs/24)+('Test Patient'!D10=$D10)*ISNUMBER('Test Patient'!E10)*(ABS('Test Patient'!E10-$E10)&lt;VisitHrs/24)+('Test Patient'!F10=$D10)*ISNUMBER('Test Patient'!G10)*(ABS('Test Patient'!G10-$E10)&lt;VisitHrs/24))-1)+('Anita Klesch'!$B10=$D10)*($E10&lt;DayEnd)*($E10+VisitHrs/24&gt;DayStart)+('Anita Klesch'!$C10=$D10)*((($E10+VisitHrs/24&gt;DayEnd)+($E10&lt;DayStart))&gt;0)+('Test Patient 2'!$B10=$D10)*($E10&lt;DayEnd)*($E10+VisitHrs/24&gt;DayStart)+('Test Patient 2'!$C10=$D10)*((($E10+VisitHrs/24&gt;DayEnd)+($E10&lt;DayStart))&gt;0)&gt;=1,1,0),0)</f>
        <v>0</v>
      </c>
      <c r="L10" s="12">
        <f>IF(AND($H10=1,$F10&lt;&gt;"",ISNUMBER($G10)),IF(((('Lucy Levene'!B10=$F10)*ISNUMBER('Lucy Levene'!C10)*(ABS('Lucy Levene'!C10-$G10)&lt;VisitHrs/24)+('Lucy Levene'!D10=$F10)*ISNUMBER('Lucy Levene'!E10)*(ABS('Lucy Levene'!E10-$G10)&lt;VisitHrs/24)+('Lucy Levene'!F10=$F10)*ISNUMBER('Lucy Levene'!G10)*(ABS('Lucy Levene'!G10-$G10)&lt;VisitHrs/24)+('Tom Bock'!B10=$F10)*ISNUMBER('Tom Bock'!C10)*(ABS('Tom Bock'!C10-$G10)&lt;VisitHrs/24)+('Tom Bock'!D10=$F10)*ISNUMBER('Tom Bock'!E10)*(ABS('Tom Bock'!E10-$G10)&lt;VisitHrs/24)+('Tom Bock'!F10=$F10)*ISNUMBER('Tom Bock'!G10)*(ABS('Tom Bock'!G10-$G10)&lt;VisitHrs/24)+(Jeremy!B10=$F10)*ISNUMBER(Jeremy!C10)*(ABS(Jeremy!C10-$G10)&lt;VisitHrs/24)+(Jeremy!D10=$F10)*ISNUMBER(Jeremy!E10)*(ABS(Jeremy!E10-$G10)&lt;VisitHrs/24)+(Jeremy!F10=$F10)*ISNUMBER(Jeremy!G10)*(ABS(Jeremy!G10-$G10)&lt;VisitHrs/24)+('Test Patient'!B10=$F10)*ISNUMBER('Test Patient'!C10)*(ABS('Test Patient'!C10-$G10)&lt;VisitHrs/24)+('Test Patient'!D10=$F10)*ISNUMBER('Test Patient'!E10)*(ABS('Test Patient'!E10-$G10)&lt;VisitHrs/24)+('Test Patient'!F10=$F10)*ISNUMBER('Test Patient'!G10)*(ABS('Test Patient'!G10-$G10)&lt;VisitHrs/24))-1)+('Anita Klesch'!$B10=$F10)*($G10&lt;DayEnd)*($G10+VisitHrs/24&gt;DayStart)+('Anita Klesch'!$C10=$F10)*((($G10+VisitHrs/24&gt;DayEnd)+($G10&lt;DayStart))&gt;0)+('Test Patient 2'!$B10=$F10)*($G10&lt;DayEnd)*($G10+VisitHrs/24&gt;DayStart)+('Test Patient 2'!$C10=$F10)*((($G10+VisitHrs/24&gt;DayEnd)+($G10&lt;DayStart))&gt;0)&gt;=1,1,0),0)</f>
        <v>0</v>
      </c>
      <c r="M10" s="12" t="str">
        <f t="shared" si="2"/>
        <v>Billie</v>
      </c>
      <c r="N10" s="12" t="str">
        <f t="shared" si="3"/>
        <v>Roderick</v>
      </c>
      <c r="O10" s="12">
        <f t="shared" si="4"/>
        <v>0</v>
      </c>
    </row>
    <row r="11" spans="1:15" x14ac:dyDescent="0.2">
      <c r="A11" s="2">
        <f t="shared" si="5"/>
        <v>46217</v>
      </c>
      <c r="B11" s="3" t="s">
        <v>14</v>
      </c>
      <c r="C11" s="24"/>
      <c r="D11" s="19" t="s">
        <v>14</v>
      </c>
      <c r="E11" s="25"/>
      <c r="F11" s="19"/>
      <c r="G11" s="25"/>
      <c r="H11" s="12">
        <f t="shared" si="0"/>
        <v>1</v>
      </c>
      <c r="I11" s="12">
        <f t="shared" si="1"/>
        <v>2</v>
      </c>
      <c r="J11" s="12">
        <f>IF(AND($H11=1,$B11&lt;&gt;"",ISNUMBER($C11)),IF(((('Lucy Levene'!B11=$B11)*ISNUMBER('Lucy Levene'!C11)*(ABS('Lucy Levene'!C11-$C11)&lt;VisitHrs/24)+('Lucy Levene'!D11=$B11)*ISNUMBER('Lucy Levene'!E11)*(ABS('Lucy Levene'!E11-$C11)&lt;VisitHrs/24)+('Lucy Levene'!F11=$B11)*ISNUMBER('Lucy Levene'!G11)*(ABS('Lucy Levene'!G11-$C11)&lt;VisitHrs/24)+('Tom Bock'!B11=$B11)*ISNUMBER('Tom Bock'!C11)*(ABS('Tom Bock'!C11-$C11)&lt;VisitHrs/24)+('Tom Bock'!D11=$B11)*ISNUMBER('Tom Bock'!E11)*(ABS('Tom Bock'!E11-$C11)&lt;VisitHrs/24)+('Tom Bock'!F11=$B11)*ISNUMBER('Tom Bock'!G11)*(ABS('Tom Bock'!G11-$C11)&lt;VisitHrs/24)+(Jeremy!B11=$B11)*ISNUMBER(Jeremy!C11)*(ABS(Jeremy!C11-$C11)&lt;VisitHrs/24)+(Jeremy!D11=$B11)*ISNUMBER(Jeremy!E11)*(ABS(Jeremy!E11-$C11)&lt;VisitHrs/24)+(Jeremy!F11=$B11)*ISNUMBER(Jeremy!G11)*(ABS(Jeremy!G11-$C11)&lt;VisitHrs/24)+('Test Patient'!B11=$B11)*ISNUMBER('Test Patient'!C11)*(ABS('Test Patient'!C11-$C11)&lt;VisitHrs/24)+('Test Patient'!D11=$B11)*ISNUMBER('Test Patient'!E11)*(ABS('Test Patient'!E11-$C11)&lt;VisitHrs/24)+('Test Patient'!F11=$B11)*ISNUMBER('Test Patient'!G11)*(ABS('Test Patient'!G11-$C11)&lt;VisitHrs/24))-1)+('Anita Klesch'!$B11=$B11)*($C11&lt;DayEnd)*($C11+VisitHrs/24&gt;DayStart)+('Anita Klesch'!$C11=$B11)*((($C11+VisitHrs/24&gt;DayEnd)+($C11&lt;DayStart))&gt;0)+('Test Patient 2'!$B11=$B11)*($C11&lt;DayEnd)*($C11+VisitHrs/24&gt;DayStart)+('Test Patient 2'!$C11=$B11)*((($C11+VisitHrs/24&gt;DayEnd)+($C11&lt;DayStart))&gt;0)&gt;=1,1,0),0)</f>
        <v>0</v>
      </c>
      <c r="K11" s="12">
        <f>IF(AND($H11=1,$D11&lt;&gt;"",ISNUMBER($E11)),IF(((('Lucy Levene'!B11=$D11)*ISNUMBER('Lucy Levene'!C11)*(ABS('Lucy Levene'!C11-$E11)&lt;VisitHrs/24)+('Lucy Levene'!D11=$D11)*ISNUMBER('Lucy Levene'!E11)*(ABS('Lucy Levene'!E11-$E11)&lt;VisitHrs/24)+('Lucy Levene'!F11=$D11)*ISNUMBER('Lucy Levene'!G11)*(ABS('Lucy Levene'!G11-$E11)&lt;VisitHrs/24)+('Tom Bock'!B11=$D11)*ISNUMBER('Tom Bock'!C11)*(ABS('Tom Bock'!C11-$E11)&lt;VisitHrs/24)+('Tom Bock'!D11=$D11)*ISNUMBER('Tom Bock'!E11)*(ABS('Tom Bock'!E11-$E11)&lt;VisitHrs/24)+('Tom Bock'!F11=$D11)*ISNUMBER('Tom Bock'!G11)*(ABS('Tom Bock'!G11-$E11)&lt;VisitHrs/24)+(Jeremy!B11=$D11)*ISNUMBER(Jeremy!C11)*(ABS(Jeremy!C11-$E11)&lt;VisitHrs/24)+(Jeremy!D11=$D11)*ISNUMBER(Jeremy!E11)*(ABS(Jeremy!E11-$E11)&lt;VisitHrs/24)+(Jeremy!F11=$D11)*ISNUMBER(Jeremy!G11)*(ABS(Jeremy!G11-$E11)&lt;VisitHrs/24)+('Test Patient'!B11=$D11)*ISNUMBER('Test Patient'!C11)*(ABS('Test Patient'!C11-$E11)&lt;VisitHrs/24)+('Test Patient'!D11=$D11)*ISNUMBER('Test Patient'!E11)*(ABS('Test Patient'!E11-$E11)&lt;VisitHrs/24)+('Test Patient'!F11=$D11)*ISNUMBER('Test Patient'!G11)*(ABS('Test Patient'!G11-$E11)&lt;VisitHrs/24))-1)+('Anita Klesch'!$B11=$D11)*($E11&lt;DayEnd)*($E11+VisitHrs/24&gt;DayStart)+('Anita Klesch'!$C11=$D11)*((($E11+VisitHrs/24&gt;DayEnd)+($E11&lt;DayStart))&gt;0)+('Test Patient 2'!$B11=$D11)*($E11&lt;DayEnd)*($E11+VisitHrs/24&gt;DayStart)+('Test Patient 2'!$C11=$D11)*((($E11+VisitHrs/24&gt;DayEnd)+($E11&lt;DayStart))&gt;0)&gt;=1,1,0),0)</f>
        <v>0</v>
      </c>
      <c r="L11" s="12">
        <f>IF(AND($H11=1,$F11&lt;&gt;"",ISNUMBER($G11)),IF(((('Lucy Levene'!B11=$F11)*ISNUMBER('Lucy Levene'!C11)*(ABS('Lucy Levene'!C11-$G11)&lt;VisitHrs/24)+('Lucy Levene'!D11=$F11)*ISNUMBER('Lucy Levene'!E11)*(ABS('Lucy Levene'!E11-$G11)&lt;VisitHrs/24)+('Lucy Levene'!F11=$F11)*ISNUMBER('Lucy Levene'!G11)*(ABS('Lucy Levene'!G11-$G11)&lt;VisitHrs/24)+('Tom Bock'!B11=$F11)*ISNUMBER('Tom Bock'!C11)*(ABS('Tom Bock'!C11-$G11)&lt;VisitHrs/24)+('Tom Bock'!D11=$F11)*ISNUMBER('Tom Bock'!E11)*(ABS('Tom Bock'!E11-$G11)&lt;VisitHrs/24)+('Tom Bock'!F11=$F11)*ISNUMBER('Tom Bock'!G11)*(ABS('Tom Bock'!G11-$G11)&lt;VisitHrs/24)+(Jeremy!B11=$F11)*ISNUMBER(Jeremy!C11)*(ABS(Jeremy!C11-$G11)&lt;VisitHrs/24)+(Jeremy!D11=$F11)*ISNUMBER(Jeremy!E11)*(ABS(Jeremy!E11-$G11)&lt;VisitHrs/24)+(Jeremy!F11=$F11)*ISNUMBER(Jeremy!G11)*(ABS(Jeremy!G11-$G11)&lt;VisitHrs/24)+('Test Patient'!B11=$F11)*ISNUMBER('Test Patient'!C11)*(ABS('Test Patient'!C11-$G11)&lt;VisitHrs/24)+('Test Patient'!D11=$F11)*ISNUMBER('Test Patient'!E11)*(ABS('Test Patient'!E11-$G11)&lt;VisitHrs/24)+('Test Patient'!F11=$F11)*ISNUMBER('Test Patient'!G11)*(ABS('Test Patient'!G11-$G11)&lt;VisitHrs/24))-1)+('Anita Klesch'!$B11=$F11)*($G11&lt;DayEnd)*($G11+VisitHrs/24&gt;DayStart)+('Anita Klesch'!$C11=$F11)*((($G11+VisitHrs/24&gt;DayEnd)+($G11&lt;DayStart))&gt;0)+('Test Patient 2'!$B11=$F11)*($G11&lt;DayEnd)*($G11+VisitHrs/24&gt;DayStart)+('Test Patient 2'!$C11=$F11)*((($G11+VisitHrs/24&gt;DayEnd)+($G11&lt;DayStart))&gt;0)&gt;=1,1,0),0)</f>
        <v>0</v>
      </c>
      <c r="M11" s="12" t="str">
        <f t="shared" si="2"/>
        <v>Roderick</v>
      </c>
      <c r="N11" s="12" t="str">
        <f t="shared" si="3"/>
        <v>Roderick</v>
      </c>
      <c r="O11" s="12">
        <f t="shared" si="4"/>
        <v>0</v>
      </c>
    </row>
    <row r="12" spans="1:15" x14ac:dyDescent="0.2">
      <c r="A12" s="2">
        <f t="shared" si="5"/>
        <v>46218</v>
      </c>
      <c r="B12" s="3" t="s">
        <v>13</v>
      </c>
      <c r="C12" s="24"/>
      <c r="D12" s="19" t="s">
        <v>14</v>
      </c>
      <c r="E12" s="25"/>
      <c r="F12" s="19"/>
      <c r="G12" s="25"/>
      <c r="H12" s="12">
        <f t="shared" si="0"/>
        <v>1</v>
      </c>
      <c r="I12" s="12">
        <f t="shared" si="1"/>
        <v>2</v>
      </c>
      <c r="J12" s="12">
        <f>IF(AND($H12=1,$B12&lt;&gt;"",ISNUMBER($C12)),IF(((('Lucy Levene'!B12=$B12)*ISNUMBER('Lucy Levene'!C12)*(ABS('Lucy Levene'!C12-$C12)&lt;VisitHrs/24)+('Lucy Levene'!D12=$B12)*ISNUMBER('Lucy Levene'!E12)*(ABS('Lucy Levene'!E12-$C12)&lt;VisitHrs/24)+('Lucy Levene'!F12=$B12)*ISNUMBER('Lucy Levene'!G12)*(ABS('Lucy Levene'!G12-$C12)&lt;VisitHrs/24)+('Tom Bock'!B12=$B12)*ISNUMBER('Tom Bock'!C12)*(ABS('Tom Bock'!C12-$C12)&lt;VisitHrs/24)+('Tom Bock'!D12=$B12)*ISNUMBER('Tom Bock'!E12)*(ABS('Tom Bock'!E12-$C12)&lt;VisitHrs/24)+('Tom Bock'!F12=$B12)*ISNUMBER('Tom Bock'!G12)*(ABS('Tom Bock'!G12-$C12)&lt;VisitHrs/24)+(Jeremy!B12=$B12)*ISNUMBER(Jeremy!C12)*(ABS(Jeremy!C12-$C12)&lt;VisitHrs/24)+(Jeremy!D12=$B12)*ISNUMBER(Jeremy!E12)*(ABS(Jeremy!E12-$C12)&lt;VisitHrs/24)+(Jeremy!F12=$B12)*ISNUMBER(Jeremy!G12)*(ABS(Jeremy!G12-$C12)&lt;VisitHrs/24)+('Test Patient'!B12=$B12)*ISNUMBER('Test Patient'!C12)*(ABS('Test Patient'!C12-$C12)&lt;VisitHrs/24)+('Test Patient'!D12=$B12)*ISNUMBER('Test Patient'!E12)*(ABS('Test Patient'!E12-$C12)&lt;VisitHrs/24)+('Test Patient'!F12=$B12)*ISNUMBER('Test Patient'!G12)*(ABS('Test Patient'!G12-$C12)&lt;VisitHrs/24))-1)+('Anita Klesch'!$B12=$B12)*($C12&lt;DayEnd)*($C12+VisitHrs/24&gt;DayStart)+('Anita Klesch'!$C12=$B12)*((($C12+VisitHrs/24&gt;DayEnd)+($C12&lt;DayStart))&gt;0)+('Test Patient 2'!$B12=$B12)*($C12&lt;DayEnd)*($C12+VisitHrs/24&gt;DayStart)+('Test Patient 2'!$C12=$B12)*((($C12+VisitHrs/24&gt;DayEnd)+($C12&lt;DayStart))&gt;0)&gt;=1,1,0),0)</f>
        <v>0</v>
      </c>
      <c r="K12" s="12">
        <f>IF(AND($H12=1,$D12&lt;&gt;"",ISNUMBER($E12)),IF(((('Lucy Levene'!B12=$D12)*ISNUMBER('Lucy Levene'!C12)*(ABS('Lucy Levene'!C12-$E12)&lt;VisitHrs/24)+('Lucy Levene'!D12=$D12)*ISNUMBER('Lucy Levene'!E12)*(ABS('Lucy Levene'!E12-$E12)&lt;VisitHrs/24)+('Lucy Levene'!F12=$D12)*ISNUMBER('Lucy Levene'!G12)*(ABS('Lucy Levene'!G12-$E12)&lt;VisitHrs/24)+('Tom Bock'!B12=$D12)*ISNUMBER('Tom Bock'!C12)*(ABS('Tom Bock'!C12-$E12)&lt;VisitHrs/24)+('Tom Bock'!D12=$D12)*ISNUMBER('Tom Bock'!E12)*(ABS('Tom Bock'!E12-$E12)&lt;VisitHrs/24)+('Tom Bock'!F12=$D12)*ISNUMBER('Tom Bock'!G12)*(ABS('Tom Bock'!G12-$E12)&lt;VisitHrs/24)+(Jeremy!B12=$D12)*ISNUMBER(Jeremy!C12)*(ABS(Jeremy!C12-$E12)&lt;VisitHrs/24)+(Jeremy!D12=$D12)*ISNUMBER(Jeremy!E12)*(ABS(Jeremy!E12-$E12)&lt;VisitHrs/24)+(Jeremy!F12=$D12)*ISNUMBER(Jeremy!G12)*(ABS(Jeremy!G12-$E12)&lt;VisitHrs/24)+('Test Patient'!B12=$D12)*ISNUMBER('Test Patient'!C12)*(ABS('Test Patient'!C12-$E12)&lt;VisitHrs/24)+('Test Patient'!D12=$D12)*ISNUMBER('Test Patient'!E12)*(ABS('Test Patient'!E12-$E12)&lt;VisitHrs/24)+('Test Patient'!F12=$D12)*ISNUMBER('Test Patient'!G12)*(ABS('Test Patient'!G12-$E12)&lt;VisitHrs/24))-1)+('Anita Klesch'!$B12=$D12)*($E12&lt;DayEnd)*($E12+VisitHrs/24&gt;DayStart)+('Anita Klesch'!$C12=$D12)*((($E12+VisitHrs/24&gt;DayEnd)+($E12&lt;DayStart))&gt;0)+('Test Patient 2'!$B12=$D12)*($E12&lt;DayEnd)*($E12+VisitHrs/24&gt;DayStart)+('Test Patient 2'!$C12=$D12)*((($E12+VisitHrs/24&gt;DayEnd)+($E12&lt;DayStart))&gt;0)&gt;=1,1,0),0)</f>
        <v>0</v>
      </c>
      <c r="L12" s="12">
        <f>IF(AND($H12=1,$F12&lt;&gt;"",ISNUMBER($G12)),IF(((('Lucy Levene'!B12=$F12)*ISNUMBER('Lucy Levene'!C12)*(ABS('Lucy Levene'!C12-$G12)&lt;VisitHrs/24)+('Lucy Levene'!D12=$F12)*ISNUMBER('Lucy Levene'!E12)*(ABS('Lucy Levene'!E12-$G12)&lt;VisitHrs/24)+('Lucy Levene'!F12=$F12)*ISNUMBER('Lucy Levene'!G12)*(ABS('Lucy Levene'!G12-$G12)&lt;VisitHrs/24)+('Tom Bock'!B12=$F12)*ISNUMBER('Tom Bock'!C12)*(ABS('Tom Bock'!C12-$G12)&lt;VisitHrs/24)+('Tom Bock'!D12=$F12)*ISNUMBER('Tom Bock'!E12)*(ABS('Tom Bock'!E12-$G12)&lt;VisitHrs/24)+('Tom Bock'!F12=$F12)*ISNUMBER('Tom Bock'!G12)*(ABS('Tom Bock'!G12-$G12)&lt;VisitHrs/24)+(Jeremy!B12=$F12)*ISNUMBER(Jeremy!C12)*(ABS(Jeremy!C12-$G12)&lt;VisitHrs/24)+(Jeremy!D12=$F12)*ISNUMBER(Jeremy!E12)*(ABS(Jeremy!E12-$G12)&lt;VisitHrs/24)+(Jeremy!F12=$F12)*ISNUMBER(Jeremy!G12)*(ABS(Jeremy!G12-$G12)&lt;VisitHrs/24)+('Test Patient'!B12=$F12)*ISNUMBER('Test Patient'!C12)*(ABS('Test Patient'!C12-$G12)&lt;VisitHrs/24)+('Test Patient'!D12=$F12)*ISNUMBER('Test Patient'!E12)*(ABS('Test Patient'!E12-$G12)&lt;VisitHrs/24)+('Test Patient'!F12=$F12)*ISNUMBER('Test Patient'!G12)*(ABS('Test Patient'!G12-$G12)&lt;VisitHrs/24))-1)+('Anita Klesch'!$B12=$F12)*($G12&lt;DayEnd)*($G12+VisitHrs/24&gt;DayStart)+('Anita Klesch'!$C12=$F12)*((($G12+VisitHrs/24&gt;DayEnd)+($G12&lt;DayStart))&gt;0)+('Test Patient 2'!$B12=$F12)*($G12&lt;DayEnd)*($G12+VisitHrs/24&gt;DayStart)+('Test Patient 2'!$C12=$F12)*((($G12+VisitHrs/24&gt;DayEnd)+($G12&lt;DayStart))&gt;0)&gt;=1,1,0),0)</f>
        <v>0</v>
      </c>
      <c r="M12" s="12" t="str">
        <f t="shared" si="2"/>
        <v>Billie</v>
      </c>
      <c r="N12" s="12" t="str">
        <f t="shared" si="3"/>
        <v>Roderick</v>
      </c>
      <c r="O12" s="12">
        <f t="shared" si="4"/>
        <v>0</v>
      </c>
    </row>
    <row r="13" spans="1:15" x14ac:dyDescent="0.2">
      <c r="A13" s="2">
        <f t="shared" si="5"/>
        <v>46219</v>
      </c>
      <c r="B13" s="3" t="s">
        <v>13</v>
      </c>
      <c r="C13" s="24"/>
      <c r="D13" s="19" t="s">
        <v>14</v>
      </c>
      <c r="E13" s="25"/>
      <c r="F13" s="19"/>
      <c r="G13" s="25"/>
      <c r="H13" s="12">
        <f t="shared" si="0"/>
        <v>1</v>
      </c>
      <c r="I13" s="12">
        <f t="shared" si="1"/>
        <v>2</v>
      </c>
      <c r="J13" s="12">
        <f>IF(AND($H13=1,$B13&lt;&gt;"",ISNUMBER($C13)),IF(((('Lucy Levene'!B13=$B13)*ISNUMBER('Lucy Levene'!C13)*(ABS('Lucy Levene'!C13-$C13)&lt;VisitHrs/24)+('Lucy Levene'!D13=$B13)*ISNUMBER('Lucy Levene'!E13)*(ABS('Lucy Levene'!E13-$C13)&lt;VisitHrs/24)+('Lucy Levene'!F13=$B13)*ISNUMBER('Lucy Levene'!G13)*(ABS('Lucy Levene'!G13-$C13)&lt;VisitHrs/24)+('Tom Bock'!B13=$B13)*ISNUMBER('Tom Bock'!C13)*(ABS('Tom Bock'!C13-$C13)&lt;VisitHrs/24)+('Tom Bock'!D13=$B13)*ISNUMBER('Tom Bock'!E13)*(ABS('Tom Bock'!E13-$C13)&lt;VisitHrs/24)+('Tom Bock'!F13=$B13)*ISNUMBER('Tom Bock'!G13)*(ABS('Tom Bock'!G13-$C13)&lt;VisitHrs/24)+(Jeremy!B13=$B13)*ISNUMBER(Jeremy!C13)*(ABS(Jeremy!C13-$C13)&lt;VisitHrs/24)+(Jeremy!D13=$B13)*ISNUMBER(Jeremy!E13)*(ABS(Jeremy!E13-$C13)&lt;VisitHrs/24)+(Jeremy!F13=$B13)*ISNUMBER(Jeremy!G13)*(ABS(Jeremy!G13-$C13)&lt;VisitHrs/24)+('Test Patient'!B13=$B13)*ISNUMBER('Test Patient'!C13)*(ABS('Test Patient'!C13-$C13)&lt;VisitHrs/24)+('Test Patient'!D13=$B13)*ISNUMBER('Test Patient'!E13)*(ABS('Test Patient'!E13-$C13)&lt;VisitHrs/24)+('Test Patient'!F13=$B13)*ISNUMBER('Test Patient'!G13)*(ABS('Test Patient'!G13-$C13)&lt;VisitHrs/24))-1)+('Anita Klesch'!$B13=$B13)*($C13&lt;DayEnd)*($C13+VisitHrs/24&gt;DayStart)+('Anita Klesch'!$C13=$B13)*((($C13+VisitHrs/24&gt;DayEnd)+($C13&lt;DayStart))&gt;0)+('Test Patient 2'!$B13=$B13)*($C13&lt;DayEnd)*($C13+VisitHrs/24&gt;DayStart)+('Test Patient 2'!$C13=$B13)*((($C13+VisitHrs/24&gt;DayEnd)+($C13&lt;DayStart))&gt;0)&gt;=1,1,0),0)</f>
        <v>0</v>
      </c>
      <c r="K13" s="12">
        <f>IF(AND($H13=1,$D13&lt;&gt;"",ISNUMBER($E13)),IF(((('Lucy Levene'!B13=$D13)*ISNUMBER('Lucy Levene'!C13)*(ABS('Lucy Levene'!C13-$E13)&lt;VisitHrs/24)+('Lucy Levene'!D13=$D13)*ISNUMBER('Lucy Levene'!E13)*(ABS('Lucy Levene'!E13-$E13)&lt;VisitHrs/24)+('Lucy Levene'!F13=$D13)*ISNUMBER('Lucy Levene'!G13)*(ABS('Lucy Levene'!G13-$E13)&lt;VisitHrs/24)+('Tom Bock'!B13=$D13)*ISNUMBER('Tom Bock'!C13)*(ABS('Tom Bock'!C13-$E13)&lt;VisitHrs/24)+('Tom Bock'!D13=$D13)*ISNUMBER('Tom Bock'!E13)*(ABS('Tom Bock'!E13-$E13)&lt;VisitHrs/24)+('Tom Bock'!F13=$D13)*ISNUMBER('Tom Bock'!G13)*(ABS('Tom Bock'!G13-$E13)&lt;VisitHrs/24)+(Jeremy!B13=$D13)*ISNUMBER(Jeremy!C13)*(ABS(Jeremy!C13-$E13)&lt;VisitHrs/24)+(Jeremy!D13=$D13)*ISNUMBER(Jeremy!E13)*(ABS(Jeremy!E13-$E13)&lt;VisitHrs/24)+(Jeremy!F13=$D13)*ISNUMBER(Jeremy!G13)*(ABS(Jeremy!G13-$E13)&lt;VisitHrs/24)+('Test Patient'!B13=$D13)*ISNUMBER('Test Patient'!C13)*(ABS('Test Patient'!C13-$E13)&lt;VisitHrs/24)+('Test Patient'!D13=$D13)*ISNUMBER('Test Patient'!E13)*(ABS('Test Patient'!E13-$E13)&lt;VisitHrs/24)+('Test Patient'!F13=$D13)*ISNUMBER('Test Patient'!G13)*(ABS('Test Patient'!G13-$E13)&lt;VisitHrs/24))-1)+('Anita Klesch'!$B13=$D13)*($E13&lt;DayEnd)*($E13+VisitHrs/24&gt;DayStart)+('Anita Klesch'!$C13=$D13)*((($E13+VisitHrs/24&gt;DayEnd)+($E13&lt;DayStart))&gt;0)+('Test Patient 2'!$B13=$D13)*($E13&lt;DayEnd)*($E13+VisitHrs/24&gt;DayStart)+('Test Patient 2'!$C13=$D13)*((($E13+VisitHrs/24&gt;DayEnd)+($E13&lt;DayStart))&gt;0)&gt;=1,1,0),0)</f>
        <v>0</v>
      </c>
      <c r="L13" s="12">
        <f>IF(AND($H13=1,$F13&lt;&gt;"",ISNUMBER($G13)),IF(((('Lucy Levene'!B13=$F13)*ISNUMBER('Lucy Levene'!C13)*(ABS('Lucy Levene'!C13-$G13)&lt;VisitHrs/24)+('Lucy Levene'!D13=$F13)*ISNUMBER('Lucy Levene'!E13)*(ABS('Lucy Levene'!E13-$G13)&lt;VisitHrs/24)+('Lucy Levene'!F13=$F13)*ISNUMBER('Lucy Levene'!G13)*(ABS('Lucy Levene'!G13-$G13)&lt;VisitHrs/24)+('Tom Bock'!B13=$F13)*ISNUMBER('Tom Bock'!C13)*(ABS('Tom Bock'!C13-$G13)&lt;VisitHrs/24)+('Tom Bock'!D13=$F13)*ISNUMBER('Tom Bock'!E13)*(ABS('Tom Bock'!E13-$G13)&lt;VisitHrs/24)+('Tom Bock'!F13=$F13)*ISNUMBER('Tom Bock'!G13)*(ABS('Tom Bock'!G13-$G13)&lt;VisitHrs/24)+(Jeremy!B13=$F13)*ISNUMBER(Jeremy!C13)*(ABS(Jeremy!C13-$G13)&lt;VisitHrs/24)+(Jeremy!D13=$F13)*ISNUMBER(Jeremy!E13)*(ABS(Jeremy!E13-$G13)&lt;VisitHrs/24)+(Jeremy!F13=$F13)*ISNUMBER(Jeremy!G13)*(ABS(Jeremy!G13-$G13)&lt;VisitHrs/24)+('Test Patient'!B13=$F13)*ISNUMBER('Test Patient'!C13)*(ABS('Test Patient'!C13-$G13)&lt;VisitHrs/24)+('Test Patient'!D13=$F13)*ISNUMBER('Test Patient'!E13)*(ABS('Test Patient'!E13-$G13)&lt;VisitHrs/24)+('Test Patient'!F13=$F13)*ISNUMBER('Test Patient'!G13)*(ABS('Test Patient'!G13-$G13)&lt;VisitHrs/24))-1)+('Anita Klesch'!$B13=$F13)*($G13&lt;DayEnd)*($G13+VisitHrs/24&gt;DayStart)+('Anita Klesch'!$C13=$F13)*((($G13+VisitHrs/24&gt;DayEnd)+($G13&lt;DayStart))&gt;0)+('Test Patient 2'!$B13=$F13)*($G13&lt;DayEnd)*($G13+VisitHrs/24&gt;DayStart)+('Test Patient 2'!$C13=$F13)*((($G13+VisitHrs/24&gt;DayEnd)+($G13&lt;DayStart))&gt;0)&gt;=1,1,0),0)</f>
        <v>0</v>
      </c>
      <c r="M13" s="12" t="str">
        <f t="shared" si="2"/>
        <v>Billie</v>
      </c>
      <c r="N13" s="12" t="str">
        <f t="shared" si="3"/>
        <v>Roderick</v>
      </c>
      <c r="O13" s="12">
        <f t="shared" si="4"/>
        <v>0</v>
      </c>
    </row>
    <row r="14" spans="1:15" x14ac:dyDescent="0.2">
      <c r="A14" s="2">
        <f t="shared" si="5"/>
        <v>46220</v>
      </c>
      <c r="B14" s="3" t="s">
        <v>13</v>
      </c>
      <c r="C14" s="24"/>
      <c r="D14" s="19" t="s">
        <v>14</v>
      </c>
      <c r="E14" s="25"/>
      <c r="F14" s="19"/>
      <c r="G14" s="25"/>
      <c r="H14" s="12">
        <f t="shared" si="0"/>
        <v>1</v>
      </c>
      <c r="I14" s="12">
        <f t="shared" si="1"/>
        <v>2</v>
      </c>
      <c r="J14" s="12">
        <f>IF(AND($H14=1,$B14&lt;&gt;"",ISNUMBER($C14)),IF(((('Lucy Levene'!B14=$B14)*ISNUMBER('Lucy Levene'!C14)*(ABS('Lucy Levene'!C14-$C14)&lt;VisitHrs/24)+('Lucy Levene'!D14=$B14)*ISNUMBER('Lucy Levene'!E14)*(ABS('Lucy Levene'!E14-$C14)&lt;VisitHrs/24)+('Lucy Levene'!F14=$B14)*ISNUMBER('Lucy Levene'!G14)*(ABS('Lucy Levene'!G14-$C14)&lt;VisitHrs/24)+('Tom Bock'!B14=$B14)*ISNUMBER('Tom Bock'!C14)*(ABS('Tom Bock'!C14-$C14)&lt;VisitHrs/24)+('Tom Bock'!D14=$B14)*ISNUMBER('Tom Bock'!E14)*(ABS('Tom Bock'!E14-$C14)&lt;VisitHrs/24)+('Tom Bock'!F14=$B14)*ISNUMBER('Tom Bock'!G14)*(ABS('Tom Bock'!G14-$C14)&lt;VisitHrs/24)+(Jeremy!B14=$B14)*ISNUMBER(Jeremy!C14)*(ABS(Jeremy!C14-$C14)&lt;VisitHrs/24)+(Jeremy!D14=$B14)*ISNUMBER(Jeremy!E14)*(ABS(Jeremy!E14-$C14)&lt;VisitHrs/24)+(Jeremy!F14=$B14)*ISNUMBER(Jeremy!G14)*(ABS(Jeremy!G14-$C14)&lt;VisitHrs/24)+('Test Patient'!B14=$B14)*ISNUMBER('Test Patient'!C14)*(ABS('Test Patient'!C14-$C14)&lt;VisitHrs/24)+('Test Patient'!D14=$B14)*ISNUMBER('Test Patient'!E14)*(ABS('Test Patient'!E14-$C14)&lt;VisitHrs/24)+('Test Patient'!F14=$B14)*ISNUMBER('Test Patient'!G14)*(ABS('Test Patient'!G14-$C14)&lt;VisitHrs/24))-1)+('Anita Klesch'!$B14=$B14)*($C14&lt;DayEnd)*($C14+VisitHrs/24&gt;DayStart)+('Anita Klesch'!$C14=$B14)*((($C14+VisitHrs/24&gt;DayEnd)+($C14&lt;DayStart))&gt;0)+('Test Patient 2'!$B14=$B14)*($C14&lt;DayEnd)*($C14+VisitHrs/24&gt;DayStart)+('Test Patient 2'!$C14=$B14)*((($C14+VisitHrs/24&gt;DayEnd)+($C14&lt;DayStart))&gt;0)&gt;=1,1,0),0)</f>
        <v>0</v>
      </c>
      <c r="K14" s="12">
        <f>IF(AND($H14=1,$D14&lt;&gt;"",ISNUMBER($E14)),IF(((('Lucy Levene'!B14=$D14)*ISNUMBER('Lucy Levene'!C14)*(ABS('Lucy Levene'!C14-$E14)&lt;VisitHrs/24)+('Lucy Levene'!D14=$D14)*ISNUMBER('Lucy Levene'!E14)*(ABS('Lucy Levene'!E14-$E14)&lt;VisitHrs/24)+('Lucy Levene'!F14=$D14)*ISNUMBER('Lucy Levene'!G14)*(ABS('Lucy Levene'!G14-$E14)&lt;VisitHrs/24)+('Tom Bock'!B14=$D14)*ISNUMBER('Tom Bock'!C14)*(ABS('Tom Bock'!C14-$E14)&lt;VisitHrs/24)+('Tom Bock'!D14=$D14)*ISNUMBER('Tom Bock'!E14)*(ABS('Tom Bock'!E14-$E14)&lt;VisitHrs/24)+('Tom Bock'!F14=$D14)*ISNUMBER('Tom Bock'!G14)*(ABS('Tom Bock'!G14-$E14)&lt;VisitHrs/24)+(Jeremy!B14=$D14)*ISNUMBER(Jeremy!C14)*(ABS(Jeremy!C14-$E14)&lt;VisitHrs/24)+(Jeremy!D14=$D14)*ISNUMBER(Jeremy!E14)*(ABS(Jeremy!E14-$E14)&lt;VisitHrs/24)+(Jeremy!F14=$D14)*ISNUMBER(Jeremy!G14)*(ABS(Jeremy!G14-$E14)&lt;VisitHrs/24)+('Test Patient'!B14=$D14)*ISNUMBER('Test Patient'!C14)*(ABS('Test Patient'!C14-$E14)&lt;VisitHrs/24)+('Test Patient'!D14=$D14)*ISNUMBER('Test Patient'!E14)*(ABS('Test Patient'!E14-$E14)&lt;VisitHrs/24)+('Test Patient'!F14=$D14)*ISNUMBER('Test Patient'!G14)*(ABS('Test Patient'!G14-$E14)&lt;VisitHrs/24))-1)+('Anita Klesch'!$B14=$D14)*($E14&lt;DayEnd)*($E14+VisitHrs/24&gt;DayStart)+('Anita Klesch'!$C14=$D14)*((($E14+VisitHrs/24&gt;DayEnd)+($E14&lt;DayStart))&gt;0)+('Test Patient 2'!$B14=$D14)*($E14&lt;DayEnd)*($E14+VisitHrs/24&gt;DayStart)+('Test Patient 2'!$C14=$D14)*((($E14+VisitHrs/24&gt;DayEnd)+($E14&lt;DayStart))&gt;0)&gt;=1,1,0),0)</f>
        <v>0</v>
      </c>
      <c r="L14" s="12">
        <f>IF(AND($H14=1,$F14&lt;&gt;"",ISNUMBER($G14)),IF(((('Lucy Levene'!B14=$F14)*ISNUMBER('Lucy Levene'!C14)*(ABS('Lucy Levene'!C14-$G14)&lt;VisitHrs/24)+('Lucy Levene'!D14=$F14)*ISNUMBER('Lucy Levene'!E14)*(ABS('Lucy Levene'!E14-$G14)&lt;VisitHrs/24)+('Lucy Levene'!F14=$F14)*ISNUMBER('Lucy Levene'!G14)*(ABS('Lucy Levene'!G14-$G14)&lt;VisitHrs/24)+('Tom Bock'!B14=$F14)*ISNUMBER('Tom Bock'!C14)*(ABS('Tom Bock'!C14-$G14)&lt;VisitHrs/24)+('Tom Bock'!D14=$F14)*ISNUMBER('Tom Bock'!E14)*(ABS('Tom Bock'!E14-$G14)&lt;VisitHrs/24)+('Tom Bock'!F14=$F14)*ISNUMBER('Tom Bock'!G14)*(ABS('Tom Bock'!G14-$G14)&lt;VisitHrs/24)+(Jeremy!B14=$F14)*ISNUMBER(Jeremy!C14)*(ABS(Jeremy!C14-$G14)&lt;VisitHrs/24)+(Jeremy!D14=$F14)*ISNUMBER(Jeremy!E14)*(ABS(Jeremy!E14-$G14)&lt;VisitHrs/24)+(Jeremy!F14=$F14)*ISNUMBER(Jeremy!G14)*(ABS(Jeremy!G14-$G14)&lt;VisitHrs/24)+('Test Patient'!B14=$F14)*ISNUMBER('Test Patient'!C14)*(ABS('Test Patient'!C14-$G14)&lt;VisitHrs/24)+('Test Patient'!D14=$F14)*ISNUMBER('Test Patient'!E14)*(ABS('Test Patient'!E14-$G14)&lt;VisitHrs/24)+('Test Patient'!F14=$F14)*ISNUMBER('Test Patient'!G14)*(ABS('Test Patient'!G14-$G14)&lt;VisitHrs/24))-1)+('Anita Klesch'!$B14=$F14)*($G14&lt;DayEnd)*($G14+VisitHrs/24&gt;DayStart)+('Anita Klesch'!$C14=$F14)*((($G14+VisitHrs/24&gt;DayEnd)+($G14&lt;DayStart))&gt;0)+('Test Patient 2'!$B14=$F14)*($G14&lt;DayEnd)*($G14+VisitHrs/24&gt;DayStart)+('Test Patient 2'!$C14=$F14)*((($G14+VisitHrs/24&gt;DayEnd)+($G14&lt;DayStart))&gt;0)&gt;=1,1,0),0)</f>
        <v>0</v>
      </c>
      <c r="M14" s="12" t="str">
        <f t="shared" si="2"/>
        <v>Billie</v>
      </c>
      <c r="N14" s="12" t="str">
        <f t="shared" si="3"/>
        <v>Roderick</v>
      </c>
      <c r="O14" s="12">
        <f t="shared" si="4"/>
        <v>0</v>
      </c>
    </row>
    <row r="15" spans="1:15" x14ac:dyDescent="0.2">
      <c r="A15" s="2">
        <f t="shared" si="5"/>
        <v>46221</v>
      </c>
      <c r="B15" s="3" t="s">
        <v>14</v>
      </c>
      <c r="C15" s="24"/>
      <c r="D15" s="19" t="s">
        <v>14</v>
      </c>
      <c r="E15" s="25"/>
      <c r="F15" s="19"/>
      <c r="G15" s="25"/>
      <c r="H15" s="12">
        <f t="shared" si="0"/>
        <v>1</v>
      </c>
      <c r="I15" s="12">
        <f t="shared" si="1"/>
        <v>2</v>
      </c>
      <c r="J15" s="12">
        <f>IF(AND($H15=1,$B15&lt;&gt;"",ISNUMBER($C15)),IF(((('Lucy Levene'!B15=$B15)*ISNUMBER('Lucy Levene'!C15)*(ABS('Lucy Levene'!C15-$C15)&lt;VisitHrs/24)+('Lucy Levene'!D15=$B15)*ISNUMBER('Lucy Levene'!E15)*(ABS('Lucy Levene'!E15-$C15)&lt;VisitHrs/24)+('Lucy Levene'!F15=$B15)*ISNUMBER('Lucy Levene'!G15)*(ABS('Lucy Levene'!G15-$C15)&lt;VisitHrs/24)+('Tom Bock'!B15=$B15)*ISNUMBER('Tom Bock'!C15)*(ABS('Tom Bock'!C15-$C15)&lt;VisitHrs/24)+('Tom Bock'!D15=$B15)*ISNUMBER('Tom Bock'!E15)*(ABS('Tom Bock'!E15-$C15)&lt;VisitHrs/24)+('Tom Bock'!F15=$B15)*ISNUMBER('Tom Bock'!G15)*(ABS('Tom Bock'!G15-$C15)&lt;VisitHrs/24)+(Jeremy!B15=$B15)*ISNUMBER(Jeremy!C15)*(ABS(Jeremy!C15-$C15)&lt;VisitHrs/24)+(Jeremy!D15=$B15)*ISNUMBER(Jeremy!E15)*(ABS(Jeremy!E15-$C15)&lt;VisitHrs/24)+(Jeremy!F15=$B15)*ISNUMBER(Jeremy!G15)*(ABS(Jeremy!G15-$C15)&lt;VisitHrs/24)+('Test Patient'!B15=$B15)*ISNUMBER('Test Patient'!C15)*(ABS('Test Patient'!C15-$C15)&lt;VisitHrs/24)+('Test Patient'!D15=$B15)*ISNUMBER('Test Patient'!E15)*(ABS('Test Patient'!E15-$C15)&lt;VisitHrs/24)+('Test Patient'!F15=$B15)*ISNUMBER('Test Patient'!G15)*(ABS('Test Patient'!G15-$C15)&lt;VisitHrs/24))-1)+('Anita Klesch'!$B15=$B15)*($C15&lt;DayEnd)*($C15+VisitHrs/24&gt;DayStart)+('Anita Klesch'!$C15=$B15)*((($C15+VisitHrs/24&gt;DayEnd)+($C15&lt;DayStart))&gt;0)+('Test Patient 2'!$B15=$B15)*($C15&lt;DayEnd)*($C15+VisitHrs/24&gt;DayStart)+('Test Patient 2'!$C15=$B15)*((($C15+VisitHrs/24&gt;DayEnd)+($C15&lt;DayStart))&gt;0)&gt;=1,1,0),0)</f>
        <v>0</v>
      </c>
      <c r="K15" s="12">
        <f>IF(AND($H15=1,$D15&lt;&gt;"",ISNUMBER($E15)),IF(((('Lucy Levene'!B15=$D15)*ISNUMBER('Lucy Levene'!C15)*(ABS('Lucy Levene'!C15-$E15)&lt;VisitHrs/24)+('Lucy Levene'!D15=$D15)*ISNUMBER('Lucy Levene'!E15)*(ABS('Lucy Levene'!E15-$E15)&lt;VisitHrs/24)+('Lucy Levene'!F15=$D15)*ISNUMBER('Lucy Levene'!G15)*(ABS('Lucy Levene'!G15-$E15)&lt;VisitHrs/24)+('Tom Bock'!B15=$D15)*ISNUMBER('Tom Bock'!C15)*(ABS('Tom Bock'!C15-$E15)&lt;VisitHrs/24)+('Tom Bock'!D15=$D15)*ISNUMBER('Tom Bock'!E15)*(ABS('Tom Bock'!E15-$E15)&lt;VisitHrs/24)+('Tom Bock'!F15=$D15)*ISNUMBER('Tom Bock'!G15)*(ABS('Tom Bock'!G15-$E15)&lt;VisitHrs/24)+(Jeremy!B15=$D15)*ISNUMBER(Jeremy!C15)*(ABS(Jeremy!C15-$E15)&lt;VisitHrs/24)+(Jeremy!D15=$D15)*ISNUMBER(Jeremy!E15)*(ABS(Jeremy!E15-$E15)&lt;VisitHrs/24)+(Jeremy!F15=$D15)*ISNUMBER(Jeremy!G15)*(ABS(Jeremy!G15-$E15)&lt;VisitHrs/24)+('Test Patient'!B15=$D15)*ISNUMBER('Test Patient'!C15)*(ABS('Test Patient'!C15-$E15)&lt;VisitHrs/24)+('Test Patient'!D15=$D15)*ISNUMBER('Test Patient'!E15)*(ABS('Test Patient'!E15-$E15)&lt;VisitHrs/24)+('Test Patient'!F15=$D15)*ISNUMBER('Test Patient'!G15)*(ABS('Test Patient'!G15-$E15)&lt;VisitHrs/24))-1)+('Anita Klesch'!$B15=$D15)*($E15&lt;DayEnd)*($E15+VisitHrs/24&gt;DayStart)+('Anita Klesch'!$C15=$D15)*((($E15+VisitHrs/24&gt;DayEnd)+($E15&lt;DayStart))&gt;0)+('Test Patient 2'!$B15=$D15)*($E15&lt;DayEnd)*($E15+VisitHrs/24&gt;DayStart)+('Test Patient 2'!$C15=$D15)*((($E15+VisitHrs/24&gt;DayEnd)+($E15&lt;DayStart))&gt;0)&gt;=1,1,0),0)</f>
        <v>0</v>
      </c>
      <c r="L15" s="12">
        <f>IF(AND($H15=1,$F15&lt;&gt;"",ISNUMBER($G15)),IF(((('Lucy Levene'!B15=$F15)*ISNUMBER('Lucy Levene'!C15)*(ABS('Lucy Levene'!C15-$G15)&lt;VisitHrs/24)+('Lucy Levene'!D15=$F15)*ISNUMBER('Lucy Levene'!E15)*(ABS('Lucy Levene'!E15-$G15)&lt;VisitHrs/24)+('Lucy Levene'!F15=$F15)*ISNUMBER('Lucy Levene'!G15)*(ABS('Lucy Levene'!G15-$G15)&lt;VisitHrs/24)+('Tom Bock'!B15=$F15)*ISNUMBER('Tom Bock'!C15)*(ABS('Tom Bock'!C15-$G15)&lt;VisitHrs/24)+('Tom Bock'!D15=$F15)*ISNUMBER('Tom Bock'!E15)*(ABS('Tom Bock'!E15-$G15)&lt;VisitHrs/24)+('Tom Bock'!F15=$F15)*ISNUMBER('Tom Bock'!G15)*(ABS('Tom Bock'!G15-$G15)&lt;VisitHrs/24)+(Jeremy!B15=$F15)*ISNUMBER(Jeremy!C15)*(ABS(Jeremy!C15-$G15)&lt;VisitHrs/24)+(Jeremy!D15=$F15)*ISNUMBER(Jeremy!E15)*(ABS(Jeremy!E15-$G15)&lt;VisitHrs/24)+(Jeremy!F15=$F15)*ISNUMBER(Jeremy!G15)*(ABS(Jeremy!G15-$G15)&lt;VisitHrs/24)+('Test Patient'!B15=$F15)*ISNUMBER('Test Patient'!C15)*(ABS('Test Patient'!C15-$G15)&lt;VisitHrs/24)+('Test Patient'!D15=$F15)*ISNUMBER('Test Patient'!E15)*(ABS('Test Patient'!E15-$G15)&lt;VisitHrs/24)+('Test Patient'!F15=$F15)*ISNUMBER('Test Patient'!G15)*(ABS('Test Patient'!G15-$G15)&lt;VisitHrs/24))-1)+('Anita Klesch'!$B15=$F15)*($G15&lt;DayEnd)*($G15+VisitHrs/24&gt;DayStart)+('Anita Klesch'!$C15=$F15)*((($G15+VisitHrs/24&gt;DayEnd)+($G15&lt;DayStart))&gt;0)+('Test Patient 2'!$B15=$F15)*($G15&lt;DayEnd)*($G15+VisitHrs/24&gt;DayStart)+('Test Patient 2'!$C15=$F15)*((($G15+VisitHrs/24&gt;DayEnd)+($G15&lt;DayStart))&gt;0)&gt;=1,1,0),0)</f>
        <v>0</v>
      </c>
      <c r="M15" s="12" t="str">
        <f t="shared" si="2"/>
        <v>Roderick</v>
      </c>
      <c r="N15" s="12" t="str">
        <f t="shared" si="3"/>
        <v>Roderick</v>
      </c>
      <c r="O15" s="12">
        <f t="shared" si="4"/>
        <v>0</v>
      </c>
    </row>
    <row r="16" spans="1:15" x14ac:dyDescent="0.2">
      <c r="A16" s="2">
        <f t="shared" si="5"/>
        <v>46222</v>
      </c>
      <c r="B16" s="3" t="s">
        <v>14</v>
      </c>
      <c r="C16" s="24"/>
      <c r="D16" s="19" t="s">
        <v>14</v>
      </c>
      <c r="E16" s="25"/>
      <c r="F16" s="19"/>
      <c r="G16" s="25"/>
      <c r="H16" s="12">
        <f t="shared" si="0"/>
        <v>1</v>
      </c>
      <c r="I16" s="12">
        <f t="shared" si="1"/>
        <v>2</v>
      </c>
      <c r="J16" s="12">
        <f>IF(AND($H16=1,$B16&lt;&gt;"",ISNUMBER($C16)),IF(((('Lucy Levene'!B16=$B16)*ISNUMBER('Lucy Levene'!C16)*(ABS('Lucy Levene'!C16-$C16)&lt;VisitHrs/24)+('Lucy Levene'!D16=$B16)*ISNUMBER('Lucy Levene'!E16)*(ABS('Lucy Levene'!E16-$C16)&lt;VisitHrs/24)+('Lucy Levene'!F16=$B16)*ISNUMBER('Lucy Levene'!G16)*(ABS('Lucy Levene'!G16-$C16)&lt;VisitHrs/24)+('Tom Bock'!B16=$B16)*ISNUMBER('Tom Bock'!C16)*(ABS('Tom Bock'!C16-$C16)&lt;VisitHrs/24)+('Tom Bock'!D16=$B16)*ISNUMBER('Tom Bock'!E16)*(ABS('Tom Bock'!E16-$C16)&lt;VisitHrs/24)+('Tom Bock'!F16=$B16)*ISNUMBER('Tom Bock'!G16)*(ABS('Tom Bock'!G16-$C16)&lt;VisitHrs/24)+(Jeremy!B16=$B16)*ISNUMBER(Jeremy!C16)*(ABS(Jeremy!C16-$C16)&lt;VisitHrs/24)+(Jeremy!D16=$B16)*ISNUMBER(Jeremy!E16)*(ABS(Jeremy!E16-$C16)&lt;VisitHrs/24)+(Jeremy!F16=$B16)*ISNUMBER(Jeremy!G16)*(ABS(Jeremy!G16-$C16)&lt;VisitHrs/24)+('Test Patient'!B16=$B16)*ISNUMBER('Test Patient'!C16)*(ABS('Test Patient'!C16-$C16)&lt;VisitHrs/24)+('Test Patient'!D16=$B16)*ISNUMBER('Test Patient'!E16)*(ABS('Test Patient'!E16-$C16)&lt;VisitHrs/24)+('Test Patient'!F16=$B16)*ISNUMBER('Test Patient'!G16)*(ABS('Test Patient'!G16-$C16)&lt;VisitHrs/24))-1)+('Anita Klesch'!$B16=$B16)*($C16&lt;DayEnd)*($C16+VisitHrs/24&gt;DayStart)+('Anita Klesch'!$C16=$B16)*((($C16+VisitHrs/24&gt;DayEnd)+($C16&lt;DayStart))&gt;0)+('Test Patient 2'!$B16=$B16)*($C16&lt;DayEnd)*($C16+VisitHrs/24&gt;DayStart)+('Test Patient 2'!$C16=$B16)*((($C16+VisitHrs/24&gt;DayEnd)+($C16&lt;DayStart))&gt;0)&gt;=1,1,0),0)</f>
        <v>0</v>
      </c>
      <c r="K16" s="12">
        <f>IF(AND($H16=1,$D16&lt;&gt;"",ISNUMBER($E16)),IF(((('Lucy Levene'!B16=$D16)*ISNUMBER('Lucy Levene'!C16)*(ABS('Lucy Levene'!C16-$E16)&lt;VisitHrs/24)+('Lucy Levene'!D16=$D16)*ISNUMBER('Lucy Levene'!E16)*(ABS('Lucy Levene'!E16-$E16)&lt;VisitHrs/24)+('Lucy Levene'!F16=$D16)*ISNUMBER('Lucy Levene'!G16)*(ABS('Lucy Levene'!G16-$E16)&lt;VisitHrs/24)+('Tom Bock'!B16=$D16)*ISNUMBER('Tom Bock'!C16)*(ABS('Tom Bock'!C16-$E16)&lt;VisitHrs/24)+('Tom Bock'!D16=$D16)*ISNUMBER('Tom Bock'!E16)*(ABS('Tom Bock'!E16-$E16)&lt;VisitHrs/24)+('Tom Bock'!F16=$D16)*ISNUMBER('Tom Bock'!G16)*(ABS('Tom Bock'!G16-$E16)&lt;VisitHrs/24)+(Jeremy!B16=$D16)*ISNUMBER(Jeremy!C16)*(ABS(Jeremy!C16-$E16)&lt;VisitHrs/24)+(Jeremy!D16=$D16)*ISNUMBER(Jeremy!E16)*(ABS(Jeremy!E16-$E16)&lt;VisitHrs/24)+(Jeremy!F16=$D16)*ISNUMBER(Jeremy!G16)*(ABS(Jeremy!G16-$E16)&lt;VisitHrs/24)+('Test Patient'!B16=$D16)*ISNUMBER('Test Patient'!C16)*(ABS('Test Patient'!C16-$E16)&lt;VisitHrs/24)+('Test Patient'!D16=$D16)*ISNUMBER('Test Patient'!E16)*(ABS('Test Patient'!E16-$E16)&lt;VisitHrs/24)+('Test Patient'!F16=$D16)*ISNUMBER('Test Patient'!G16)*(ABS('Test Patient'!G16-$E16)&lt;VisitHrs/24))-1)+('Anita Klesch'!$B16=$D16)*($E16&lt;DayEnd)*($E16+VisitHrs/24&gt;DayStart)+('Anita Klesch'!$C16=$D16)*((($E16+VisitHrs/24&gt;DayEnd)+($E16&lt;DayStart))&gt;0)+('Test Patient 2'!$B16=$D16)*($E16&lt;DayEnd)*($E16+VisitHrs/24&gt;DayStart)+('Test Patient 2'!$C16=$D16)*((($E16+VisitHrs/24&gt;DayEnd)+($E16&lt;DayStart))&gt;0)&gt;=1,1,0),0)</f>
        <v>0</v>
      </c>
      <c r="L16" s="12">
        <f>IF(AND($H16=1,$F16&lt;&gt;"",ISNUMBER($G16)),IF(((('Lucy Levene'!B16=$F16)*ISNUMBER('Lucy Levene'!C16)*(ABS('Lucy Levene'!C16-$G16)&lt;VisitHrs/24)+('Lucy Levene'!D16=$F16)*ISNUMBER('Lucy Levene'!E16)*(ABS('Lucy Levene'!E16-$G16)&lt;VisitHrs/24)+('Lucy Levene'!F16=$F16)*ISNUMBER('Lucy Levene'!G16)*(ABS('Lucy Levene'!G16-$G16)&lt;VisitHrs/24)+('Tom Bock'!B16=$F16)*ISNUMBER('Tom Bock'!C16)*(ABS('Tom Bock'!C16-$G16)&lt;VisitHrs/24)+('Tom Bock'!D16=$F16)*ISNUMBER('Tom Bock'!E16)*(ABS('Tom Bock'!E16-$G16)&lt;VisitHrs/24)+('Tom Bock'!F16=$F16)*ISNUMBER('Tom Bock'!G16)*(ABS('Tom Bock'!G16-$G16)&lt;VisitHrs/24)+(Jeremy!B16=$F16)*ISNUMBER(Jeremy!C16)*(ABS(Jeremy!C16-$G16)&lt;VisitHrs/24)+(Jeremy!D16=$F16)*ISNUMBER(Jeremy!E16)*(ABS(Jeremy!E16-$G16)&lt;VisitHrs/24)+(Jeremy!F16=$F16)*ISNUMBER(Jeremy!G16)*(ABS(Jeremy!G16-$G16)&lt;VisitHrs/24)+('Test Patient'!B16=$F16)*ISNUMBER('Test Patient'!C16)*(ABS('Test Patient'!C16-$G16)&lt;VisitHrs/24)+('Test Patient'!D16=$F16)*ISNUMBER('Test Patient'!E16)*(ABS('Test Patient'!E16-$G16)&lt;VisitHrs/24)+('Test Patient'!F16=$F16)*ISNUMBER('Test Patient'!G16)*(ABS('Test Patient'!G16-$G16)&lt;VisitHrs/24))-1)+('Anita Klesch'!$B16=$F16)*($G16&lt;DayEnd)*($G16+VisitHrs/24&gt;DayStart)+('Anita Klesch'!$C16=$F16)*((($G16+VisitHrs/24&gt;DayEnd)+($G16&lt;DayStart))&gt;0)+('Test Patient 2'!$B16=$F16)*($G16&lt;DayEnd)*($G16+VisitHrs/24&gt;DayStart)+('Test Patient 2'!$C16=$F16)*((($G16+VisitHrs/24&gt;DayEnd)+($G16&lt;DayStart))&gt;0)&gt;=1,1,0),0)</f>
        <v>0</v>
      </c>
      <c r="M16" s="12" t="str">
        <f t="shared" si="2"/>
        <v>Roderick</v>
      </c>
      <c r="N16" s="12" t="str">
        <f t="shared" si="3"/>
        <v>Roderick</v>
      </c>
      <c r="O16" s="12">
        <f t="shared" si="4"/>
        <v>0</v>
      </c>
    </row>
    <row r="17" spans="1:15" x14ac:dyDescent="0.2">
      <c r="A17" s="2">
        <f t="shared" si="5"/>
        <v>46223</v>
      </c>
      <c r="B17" s="19" t="s">
        <v>13</v>
      </c>
      <c r="C17" s="24"/>
      <c r="D17" s="19" t="s">
        <v>14</v>
      </c>
      <c r="E17" s="25"/>
      <c r="F17" s="19"/>
      <c r="G17" s="25"/>
      <c r="H17" s="12">
        <f t="shared" si="0"/>
        <v>1</v>
      </c>
      <c r="I17" s="12">
        <f t="shared" si="1"/>
        <v>2</v>
      </c>
      <c r="J17" s="12">
        <f>IF(AND($H17=1,$B17&lt;&gt;"",ISNUMBER($C17)),IF(((('Lucy Levene'!B17=$B17)*ISNUMBER('Lucy Levene'!C17)*(ABS('Lucy Levene'!C17-$C17)&lt;VisitHrs/24)+('Lucy Levene'!D17=$B17)*ISNUMBER('Lucy Levene'!E17)*(ABS('Lucy Levene'!E17-$C17)&lt;VisitHrs/24)+('Lucy Levene'!F17=$B17)*ISNUMBER('Lucy Levene'!G17)*(ABS('Lucy Levene'!G17-$C17)&lt;VisitHrs/24)+('Tom Bock'!B17=$B17)*ISNUMBER('Tom Bock'!C17)*(ABS('Tom Bock'!C17-$C17)&lt;VisitHrs/24)+('Tom Bock'!D17=$B17)*ISNUMBER('Tom Bock'!E17)*(ABS('Tom Bock'!E17-$C17)&lt;VisitHrs/24)+('Tom Bock'!F17=$B17)*ISNUMBER('Tom Bock'!G17)*(ABS('Tom Bock'!G17-$C17)&lt;VisitHrs/24)+(Jeremy!B17=$B17)*ISNUMBER(Jeremy!C17)*(ABS(Jeremy!C17-$C17)&lt;VisitHrs/24)+(Jeremy!D17=$B17)*ISNUMBER(Jeremy!E17)*(ABS(Jeremy!E17-$C17)&lt;VisitHrs/24)+(Jeremy!F17=$B17)*ISNUMBER(Jeremy!G17)*(ABS(Jeremy!G17-$C17)&lt;VisitHrs/24)+('Test Patient'!B17=$B17)*ISNUMBER('Test Patient'!C17)*(ABS('Test Patient'!C17-$C17)&lt;VisitHrs/24)+('Test Patient'!D17=$B17)*ISNUMBER('Test Patient'!E17)*(ABS('Test Patient'!E17-$C17)&lt;VisitHrs/24)+('Test Patient'!F17=$B17)*ISNUMBER('Test Patient'!G17)*(ABS('Test Patient'!G17-$C17)&lt;VisitHrs/24))-1)+('Anita Klesch'!$B17=$B17)*($C17&lt;DayEnd)*($C17+VisitHrs/24&gt;DayStart)+('Anita Klesch'!$C17=$B17)*((($C17+VisitHrs/24&gt;DayEnd)+($C17&lt;DayStart))&gt;0)+('Test Patient 2'!$B17=$B17)*($C17&lt;DayEnd)*($C17+VisitHrs/24&gt;DayStart)+('Test Patient 2'!$C17=$B17)*((($C17+VisitHrs/24&gt;DayEnd)+($C17&lt;DayStart))&gt;0)&gt;=1,1,0),0)</f>
        <v>0</v>
      </c>
      <c r="K17" s="12">
        <f>IF(AND($H17=1,$D17&lt;&gt;"",ISNUMBER($E17)),IF(((('Lucy Levene'!B17=$D17)*ISNUMBER('Lucy Levene'!C17)*(ABS('Lucy Levene'!C17-$E17)&lt;VisitHrs/24)+('Lucy Levene'!D17=$D17)*ISNUMBER('Lucy Levene'!E17)*(ABS('Lucy Levene'!E17-$E17)&lt;VisitHrs/24)+('Lucy Levene'!F17=$D17)*ISNUMBER('Lucy Levene'!G17)*(ABS('Lucy Levene'!G17-$E17)&lt;VisitHrs/24)+('Tom Bock'!B17=$D17)*ISNUMBER('Tom Bock'!C17)*(ABS('Tom Bock'!C17-$E17)&lt;VisitHrs/24)+('Tom Bock'!D17=$D17)*ISNUMBER('Tom Bock'!E17)*(ABS('Tom Bock'!E17-$E17)&lt;VisitHrs/24)+('Tom Bock'!F17=$D17)*ISNUMBER('Tom Bock'!G17)*(ABS('Tom Bock'!G17-$E17)&lt;VisitHrs/24)+(Jeremy!B17=$D17)*ISNUMBER(Jeremy!C17)*(ABS(Jeremy!C17-$E17)&lt;VisitHrs/24)+(Jeremy!D17=$D17)*ISNUMBER(Jeremy!E17)*(ABS(Jeremy!E17-$E17)&lt;VisitHrs/24)+(Jeremy!F17=$D17)*ISNUMBER(Jeremy!G17)*(ABS(Jeremy!G17-$E17)&lt;VisitHrs/24)+('Test Patient'!B17=$D17)*ISNUMBER('Test Patient'!C17)*(ABS('Test Patient'!C17-$E17)&lt;VisitHrs/24)+('Test Patient'!D17=$D17)*ISNUMBER('Test Patient'!E17)*(ABS('Test Patient'!E17-$E17)&lt;VisitHrs/24)+('Test Patient'!F17=$D17)*ISNUMBER('Test Patient'!G17)*(ABS('Test Patient'!G17-$E17)&lt;VisitHrs/24))-1)+('Anita Klesch'!$B17=$D17)*($E17&lt;DayEnd)*($E17+VisitHrs/24&gt;DayStart)+('Anita Klesch'!$C17=$D17)*((($E17+VisitHrs/24&gt;DayEnd)+($E17&lt;DayStart))&gt;0)+('Test Patient 2'!$B17=$D17)*($E17&lt;DayEnd)*($E17+VisitHrs/24&gt;DayStart)+('Test Patient 2'!$C17=$D17)*((($E17+VisitHrs/24&gt;DayEnd)+($E17&lt;DayStart))&gt;0)&gt;=1,1,0),0)</f>
        <v>0</v>
      </c>
      <c r="L17" s="12">
        <f>IF(AND($H17=1,$F17&lt;&gt;"",ISNUMBER($G17)),IF(((('Lucy Levene'!B17=$F17)*ISNUMBER('Lucy Levene'!C17)*(ABS('Lucy Levene'!C17-$G17)&lt;VisitHrs/24)+('Lucy Levene'!D17=$F17)*ISNUMBER('Lucy Levene'!E17)*(ABS('Lucy Levene'!E17-$G17)&lt;VisitHrs/24)+('Lucy Levene'!F17=$F17)*ISNUMBER('Lucy Levene'!G17)*(ABS('Lucy Levene'!G17-$G17)&lt;VisitHrs/24)+('Tom Bock'!B17=$F17)*ISNUMBER('Tom Bock'!C17)*(ABS('Tom Bock'!C17-$G17)&lt;VisitHrs/24)+('Tom Bock'!D17=$F17)*ISNUMBER('Tom Bock'!E17)*(ABS('Tom Bock'!E17-$G17)&lt;VisitHrs/24)+('Tom Bock'!F17=$F17)*ISNUMBER('Tom Bock'!G17)*(ABS('Tom Bock'!G17-$G17)&lt;VisitHrs/24)+(Jeremy!B17=$F17)*ISNUMBER(Jeremy!C17)*(ABS(Jeremy!C17-$G17)&lt;VisitHrs/24)+(Jeremy!D17=$F17)*ISNUMBER(Jeremy!E17)*(ABS(Jeremy!E17-$G17)&lt;VisitHrs/24)+(Jeremy!F17=$F17)*ISNUMBER(Jeremy!G17)*(ABS(Jeremy!G17-$G17)&lt;VisitHrs/24)+('Test Patient'!B17=$F17)*ISNUMBER('Test Patient'!C17)*(ABS('Test Patient'!C17-$G17)&lt;VisitHrs/24)+('Test Patient'!D17=$F17)*ISNUMBER('Test Patient'!E17)*(ABS('Test Patient'!E17-$G17)&lt;VisitHrs/24)+('Test Patient'!F17=$F17)*ISNUMBER('Test Patient'!G17)*(ABS('Test Patient'!G17-$G17)&lt;VisitHrs/24))-1)+('Anita Klesch'!$B17=$F17)*($G17&lt;DayEnd)*($G17+VisitHrs/24&gt;DayStart)+('Anita Klesch'!$C17=$F17)*((($G17+VisitHrs/24&gt;DayEnd)+($G17&lt;DayStart))&gt;0)+('Test Patient 2'!$B17=$F17)*($G17&lt;DayEnd)*($G17+VisitHrs/24&gt;DayStart)+('Test Patient 2'!$C17=$F17)*((($G17+VisitHrs/24&gt;DayEnd)+($G17&lt;DayStart))&gt;0)&gt;=1,1,0),0)</f>
        <v>0</v>
      </c>
      <c r="M17" s="12" t="str">
        <f t="shared" si="2"/>
        <v>Billie</v>
      </c>
      <c r="N17" s="12" t="str">
        <f t="shared" si="3"/>
        <v>Roderick</v>
      </c>
      <c r="O17" s="12">
        <f t="shared" si="4"/>
        <v>0</v>
      </c>
    </row>
    <row r="18" spans="1:15" x14ac:dyDescent="0.2">
      <c r="A18" s="2">
        <f t="shared" si="5"/>
        <v>46224</v>
      </c>
      <c r="B18" s="19" t="s">
        <v>14</v>
      </c>
      <c r="C18" s="24"/>
      <c r="D18" s="19" t="s">
        <v>16</v>
      </c>
      <c r="E18" s="25"/>
      <c r="F18" s="19"/>
      <c r="G18" s="25"/>
      <c r="H18" s="12">
        <f t="shared" si="0"/>
        <v>1</v>
      </c>
      <c r="I18" s="12">
        <f t="shared" si="1"/>
        <v>2</v>
      </c>
      <c r="J18" s="12">
        <f>IF(AND($H18=1,$B18&lt;&gt;"",ISNUMBER($C18)),IF(((('Lucy Levene'!B18=$B18)*ISNUMBER('Lucy Levene'!C18)*(ABS('Lucy Levene'!C18-$C18)&lt;VisitHrs/24)+('Lucy Levene'!D18=$B18)*ISNUMBER('Lucy Levene'!E18)*(ABS('Lucy Levene'!E18-$C18)&lt;VisitHrs/24)+('Lucy Levene'!F18=$B18)*ISNUMBER('Lucy Levene'!G18)*(ABS('Lucy Levene'!G18-$C18)&lt;VisitHrs/24)+('Tom Bock'!B18=$B18)*ISNUMBER('Tom Bock'!C18)*(ABS('Tom Bock'!C18-$C18)&lt;VisitHrs/24)+('Tom Bock'!D18=$B18)*ISNUMBER('Tom Bock'!E18)*(ABS('Tom Bock'!E18-$C18)&lt;VisitHrs/24)+('Tom Bock'!F18=$B18)*ISNUMBER('Tom Bock'!G18)*(ABS('Tom Bock'!G18-$C18)&lt;VisitHrs/24)+(Jeremy!B18=$B18)*ISNUMBER(Jeremy!C18)*(ABS(Jeremy!C18-$C18)&lt;VisitHrs/24)+(Jeremy!D18=$B18)*ISNUMBER(Jeremy!E18)*(ABS(Jeremy!E18-$C18)&lt;VisitHrs/24)+(Jeremy!F18=$B18)*ISNUMBER(Jeremy!G18)*(ABS(Jeremy!G18-$C18)&lt;VisitHrs/24)+('Test Patient'!B18=$B18)*ISNUMBER('Test Patient'!C18)*(ABS('Test Patient'!C18-$C18)&lt;VisitHrs/24)+('Test Patient'!D18=$B18)*ISNUMBER('Test Patient'!E18)*(ABS('Test Patient'!E18-$C18)&lt;VisitHrs/24)+('Test Patient'!F18=$B18)*ISNUMBER('Test Patient'!G18)*(ABS('Test Patient'!G18-$C18)&lt;VisitHrs/24))-1)+('Anita Klesch'!$B18=$B18)*($C18&lt;DayEnd)*($C18+VisitHrs/24&gt;DayStart)+('Anita Klesch'!$C18=$B18)*((($C18+VisitHrs/24&gt;DayEnd)+($C18&lt;DayStart))&gt;0)+('Test Patient 2'!$B18=$B18)*($C18&lt;DayEnd)*($C18+VisitHrs/24&gt;DayStart)+('Test Patient 2'!$C18=$B18)*((($C18+VisitHrs/24&gt;DayEnd)+($C18&lt;DayStart))&gt;0)&gt;=1,1,0),0)</f>
        <v>0</v>
      </c>
      <c r="K18" s="12">
        <f>IF(AND($H18=1,$D18&lt;&gt;"",ISNUMBER($E18)),IF(((('Lucy Levene'!B18=$D18)*ISNUMBER('Lucy Levene'!C18)*(ABS('Lucy Levene'!C18-$E18)&lt;VisitHrs/24)+('Lucy Levene'!D18=$D18)*ISNUMBER('Lucy Levene'!E18)*(ABS('Lucy Levene'!E18-$E18)&lt;VisitHrs/24)+('Lucy Levene'!F18=$D18)*ISNUMBER('Lucy Levene'!G18)*(ABS('Lucy Levene'!G18-$E18)&lt;VisitHrs/24)+('Tom Bock'!B18=$D18)*ISNUMBER('Tom Bock'!C18)*(ABS('Tom Bock'!C18-$E18)&lt;VisitHrs/24)+('Tom Bock'!D18=$D18)*ISNUMBER('Tom Bock'!E18)*(ABS('Tom Bock'!E18-$E18)&lt;VisitHrs/24)+('Tom Bock'!F18=$D18)*ISNUMBER('Tom Bock'!G18)*(ABS('Tom Bock'!G18-$E18)&lt;VisitHrs/24)+(Jeremy!B18=$D18)*ISNUMBER(Jeremy!C18)*(ABS(Jeremy!C18-$E18)&lt;VisitHrs/24)+(Jeremy!D18=$D18)*ISNUMBER(Jeremy!E18)*(ABS(Jeremy!E18-$E18)&lt;VisitHrs/24)+(Jeremy!F18=$D18)*ISNUMBER(Jeremy!G18)*(ABS(Jeremy!G18-$E18)&lt;VisitHrs/24)+('Test Patient'!B18=$D18)*ISNUMBER('Test Patient'!C18)*(ABS('Test Patient'!C18-$E18)&lt;VisitHrs/24)+('Test Patient'!D18=$D18)*ISNUMBER('Test Patient'!E18)*(ABS('Test Patient'!E18-$E18)&lt;VisitHrs/24)+('Test Patient'!F18=$D18)*ISNUMBER('Test Patient'!G18)*(ABS('Test Patient'!G18-$E18)&lt;VisitHrs/24))-1)+('Anita Klesch'!$B18=$D18)*($E18&lt;DayEnd)*($E18+VisitHrs/24&gt;DayStart)+('Anita Klesch'!$C18=$D18)*((($E18+VisitHrs/24&gt;DayEnd)+($E18&lt;DayStart))&gt;0)+('Test Patient 2'!$B18=$D18)*($E18&lt;DayEnd)*($E18+VisitHrs/24&gt;DayStart)+('Test Patient 2'!$C18=$D18)*((($E18+VisitHrs/24&gt;DayEnd)+($E18&lt;DayStart))&gt;0)&gt;=1,1,0),0)</f>
        <v>0</v>
      </c>
      <c r="L18" s="12">
        <f>IF(AND($H18=1,$F18&lt;&gt;"",ISNUMBER($G18)),IF(((('Lucy Levene'!B18=$F18)*ISNUMBER('Lucy Levene'!C18)*(ABS('Lucy Levene'!C18-$G18)&lt;VisitHrs/24)+('Lucy Levene'!D18=$F18)*ISNUMBER('Lucy Levene'!E18)*(ABS('Lucy Levene'!E18-$G18)&lt;VisitHrs/24)+('Lucy Levene'!F18=$F18)*ISNUMBER('Lucy Levene'!G18)*(ABS('Lucy Levene'!G18-$G18)&lt;VisitHrs/24)+('Tom Bock'!B18=$F18)*ISNUMBER('Tom Bock'!C18)*(ABS('Tom Bock'!C18-$G18)&lt;VisitHrs/24)+('Tom Bock'!D18=$F18)*ISNUMBER('Tom Bock'!E18)*(ABS('Tom Bock'!E18-$G18)&lt;VisitHrs/24)+('Tom Bock'!F18=$F18)*ISNUMBER('Tom Bock'!G18)*(ABS('Tom Bock'!G18-$G18)&lt;VisitHrs/24)+(Jeremy!B18=$F18)*ISNUMBER(Jeremy!C18)*(ABS(Jeremy!C18-$G18)&lt;VisitHrs/24)+(Jeremy!D18=$F18)*ISNUMBER(Jeremy!E18)*(ABS(Jeremy!E18-$G18)&lt;VisitHrs/24)+(Jeremy!F18=$F18)*ISNUMBER(Jeremy!G18)*(ABS(Jeremy!G18-$G18)&lt;VisitHrs/24)+('Test Patient'!B18=$F18)*ISNUMBER('Test Patient'!C18)*(ABS('Test Patient'!C18-$G18)&lt;VisitHrs/24)+('Test Patient'!D18=$F18)*ISNUMBER('Test Patient'!E18)*(ABS('Test Patient'!E18-$G18)&lt;VisitHrs/24)+('Test Patient'!F18=$F18)*ISNUMBER('Test Patient'!G18)*(ABS('Test Patient'!G18-$G18)&lt;VisitHrs/24))-1)+('Anita Klesch'!$B18=$F18)*($G18&lt;DayEnd)*($G18+VisitHrs/24&gt;DayStart)+('Anita Klesch'!$C18=$F18)*((($G18+VisitHrs/24&gt;DayEnd)+($G18&lt;DayStart))&gt;0)+('Test Patient 2'!$B18=$F18)*($G18&lt;DayEnd)*($G18+VisitHrs/24&gt;DayStart)+('Test Patient 2'!$C18=$F18)*((($G18+VisitHrs/24&gt;DayEnd)+($G18&lt;DayStart))&gt;0)&gt;=1,1,0),0)</f>
        <v>0</v>
      </c>
      <c r="M18" s="12" t="str">
        <f t="shared" si="2"/>
        <v>Roderick</v>
      </c>
      <c r="N18" s="12" t="str">
        <f t="shared" si="3"/>
        <v>Rochelle</v>
      </c>
      <c r="O18" s="12">
        <f t="shared" si="4"/>
        <v>0</v>
      </c>
    </row>
    <row r="19" spans="1:15" x14ac:dyDescent="0.2">
      <c r="A19" s="2">
        <f t="shared" si="5"/>
        <v>46225</v>
      </c>
      <c r="B19" s="19" t="s">
        <v>16</v>
      </c>
      <c r="C19" s="24"/>
      <c r="D19" s="19" t="s">
        <v>16</v>
      </c>
      <c r="E19" s="25"/>
      <c r="F19" s="19"/>
      <c r="G19" s="25"/>
      <c r="H19" s="12">
        <f t="shared" si="0"/>
        <v>1</v>
      </c>
      <c r="I19" s="12">
        <f t="shared" si="1"/>
        <v>2</v>
      </c>
      <c r="J19" s="12">
        <f>IF(AND($H19=1,$B19&lt;&gt;"",ISNUMBER($C19)),IF(((('Lucy Levene'!B19=$B19)*ISNUMBER('Lucy Levene'!C19)*(ABS('Lucy Levene'!C19-$C19)&lt;VisitHrs/24)+('Lucy Levene'!D19=$B19)*ISNUMBER('Lucy Levene'!E19)*(ABS('Lucy Levene'!E19-$C19)&lt;VisitHrs/24)+('Lucy Levene'!F19=$B19)*ISNUMBER('Lucy Levene'!G19)*(ABS('Lucy Levene'!G19-$C19)&lt;VisitHrs/24)+('Tom Bock'!B19=$B19)*ISNUMBER('Tom Bock'!C19)*(ABS('Tom Bock'!C19-$C19)&lt;VisitHrs/24)+('Tom Bock'!D19=$B19)*ISNUMBER('Tom Bock'!E19)*(ABS('Tom Bock'!E19-$C19)&lt;VisitHrs/24)+('Tom Bock'!F19=$B19)*ISNUMBER('Tom Bock'!G19)*(ABS('Tom Bock'!G19-$C19)&lt;VisitHrs/24)+(Jeremy!B19=$B19)*ISNUMBER(Jeremy!C19)*(ABS(Jeremy!C19-$C19)&lt;VisitHrs/24)+(Jeremy!D19=$B19)*ISNUMBER(Jeremy!E19)*(ABS(Jeremy!E19-$C19)&lt;VisitHrs/24)+(Jeremy!F19=$B19)*ISNUMBER(Jeremy!G19)*(ABS(Jeremy!G19-$C19)&lt;VisitHrs/24)+('Test Patient'!B19=$B19)*ISNUMBER('Test Patient'!C19)*(ABS('Test Patient'!C19-$C19)&lt;VisitHrs/24)+('Test Patient'!D19=$B19)*ISNUMBER('Test Patient'!E19)*(ABS('Test Patient'!E19-$C19)&lt;VisitHrs/24)+('Test Patient'!F19=$B19)*ISNUMBER('Test Patient'!G19)*(ABS('Test Patient'!G19-$C19)&lt;VisitHrs/24))-1)+('Anita Klesch'!$B19=$B19)*($C19&lt;DayEnd)*($C19+VisitHrs/24&gt;DayStart)+('Anita Klesch'!$C19=$B19)*((($C19+VisitHrs/24&gt;DayEnd)+($C19&lt;DayStart))&gt;0)+('Test Patient 2'!$B19=$B19)*($C19&lt;DayEnd)*($C19+VisitHrs/24&gt;DayStart)+('Test Patient 2'!$C19=$B19)*((($C19+VisitHrs/24&gt;DayEnd)+($C19&lt;DayStart))&gt;0)&gt;=1,1,0),0)</f>
        <v>0</v>
      </c>
      <c r="K19" s="12">
        <f>IF(AND($H19=1,$D19&lt;&gt;"",ISNUMBER($E19)),IF(((('Lucy Levene'!B19=$D19)*ISNUMBER('Lucy Levene'!C19)*(ABS('Lucy Levene'!C19-$E19)&lt;VisitHrs/24)+('Lucy Levene'!D19=$D19)*ISNUMBER('Lucy Levene'!E19)*(ABS('Lucy Levene'!E19-$E19)&lt;VisitHrs/24)+('Lucy Levene'!F19=$D19)*ISNUMBER('Lucy Levene'!G19)*(ABS('Lucy Levene'!G19-$E19)&lt;VisitHrs/24)+('Tom Bock'!B19=$D19)*ISNUMBER('Tom Bock'!C19)*(ABS('Tom Bock'!C19-$E19)&lt;VisitHrs/24)+('Tom Bock'!D19=$D19)*ISNUMBER('Tom Bock'!E19)*(ABS('Tom Bock'!E19-$E19)&lt;VisitHrs/24)+('Tom Bock'!F19=$D19)*ISNUMBER('Tom Bock'!G19)*(ABS('Tom Bock'!G19-$E19)&lt;VisitHrs/24)+(Jeremy!B19=$D19)*ISNUMBER(Jeremy!C19)*(ABS(Jeremy!C19-$E19)&lt;VisitHrs/24)+(Jeremy!D19=$D19)*ISNUMBER(Jeremy!E19)*(ABS(Jeremy!E19-$E19)&lt;VisitHrs/24)+(Jeremy!F19=$D19)*ISNUMBER(Jeremy!G19)*(ABS(Jeremy!G19-$E19)&lt;VisitHrs/24)+('Test Patient'!B19=$D19)*ISNUMBER('Test Patient'!C19)*(ABS('Test Patient'!C19-$E19)&lt;VisitHrs/24)+('Test Patient'!D19=$D19)*ISNUMBER('Test Patient'!E19)*(ABS('Test Patient'!E19-$E19)&lt;VisitHrs/24)+('Test Patient'!F19=$D19)*ISNUMBER('Test Patient'!G19)*(ABS('Test Patient'!G19-$E19)&lt;VisitHrs/24))-1)+('Anita Klesch'!$B19=$D19)*($E19&lt;DayEnd)*($E19+VisitHrs/24&gt;DayStart)+('Anita Klesch'!$C19=$D19)*((($E19+VisitHrs/24&gt;DayEnd)+($E19&lt;DayStart))&gt;0)+('Test Patient 2'!$B19=$D19)*($E19&lt;DayEnd)*($E19+VisitHrs/24&gt;DayStart)+('Test Patient 2'!$C19=$D19)*((($E19+VisitHrs/24&gt;DayEnd)+($E19&lt;DayStart))&gt;0)&gt;=1,1,0),0)</f>
        <v>0</v>
      </c>
      <c r="L19" s="12">
        <f>IF(AND($H19=1,$F19&lt;&gt;"",ISNUMBER($G19)),IF(((('Lucy Levene'!B19=$F19)*ISNUMBER('Lucy Levene'!C19)*(ABS('Lucy Levene'!C19-$G19)&lt;VisitHrs/24)+('Lucy Levene'!D19=$F19)*ISNUMBER('Lucy Levene'!E19)*(ABS('Lucy Levene'!E19-$G19)&lt;VisitHrs/24)+('Lucy Levene'!F19=$F19)*ISNUMBER('Lucy Levene'!G19)*(ABS('Lucy Levene'!G19-$G19)&lt;VisitHrs/24)+('Tom Bock'!B19=$F19)*ISNUMBER('Tom Bock'!C19)*(ABS('Tom Bock'!C19-$G19)&lt;VisitHrs/24)+('Tom Bock'!D19=$F19)*ISNUMBER('Tom Bock'!E19)*(ABS('Tom Bock'!E19-$G19)&lt;VisitHrs/24)+('Tom Bock'!F19=$F19)*ISNUMBER('Tom Bock'!G19)*(ABS('Tom Bock'!G19-$G19)&lt;VisitHrs/24)+(Jeremy!B19=$F19)*ISNUMBER(Jeremy!C19)*(ABS(Jeremy!C19-$G19)&lt;VisitHrs/24)+(Jeremy!D19=$F19)*ISNUMBER(Jeremy!E19)*(ABS(Jeremy!E19-$G19)&lt;VisitHrs/24)+(Jeremy!F19=$F19)*ISNUMBER(Jeremy!G19)*(ABS(Jeremy!G19-$G19)&lt;VisitHrs/24)+('Test Patient'!B19=$F19)*ISNUMBER('Test Patient'!C19)*(ABS('Test Patient'!C19-$G19)&lt;VisitHrs/24)+('Test Patient'!D19=$F19)*ISNUMBER('Test Patient'!E19)*(ABS('Test Patient'!E19-$G19)&lt;VisitHrs/24)+('Test Patient'!F19=$F19)*ISNUMBER('Test Patient'!G19)*(ABS('Test Patient'!G19-$G19)&lt;VisitHrs/24))-1)+('Anita Klesch'!$B19=$F19)*($G19&lt;DayEnd)*($G19+VisitHrs/24&gt;DayStart)+('Anita Klesch'!$C19=$F19)*((($G19+VisitHrs/24&gt;DayEnd)+($G19&lt;DayStart))&gt;0)+('Test Patient 2'!$B19=$F19)*($G19&lt;DayEnd)*($G19+VisitHrs/24&gt;DayStart)+('Test Patient 2'!$C19=$F19)*((($G19+VisitHrs/24&gt;DayEnd)+($G19&lt;DayStart))&gt;0)&gt;=1,1,0),0)</f>
        <v>0</v>
      </c>
      <c r="M19" s="12" t="str">
        <f t="shared" si="2"/>
        <v>Rochelle</v>
      </c>
      <c r="N19" s="12" t="str">
        <f t="shared" si="3"/>
        <v>Rochelle</v>
      </c>
      <c r="O19" s="12">
        <f t="shared" si="4"/>
        <v>0</v>
      </c>
    </row>
    <row r="20" spans="1:15" x14ac:dyDescent="0.2">
      <c r="A20" s="2">
        <f t="shared" si="5"/>
        <v>46226</v>
      </c>
      <c r="B20" s="19" t="s">
        <v>16</v>
      </c>
      <c r="C20" s="24"/>
      <c r="D20" s="19" t="s">
        <v>14</v>
      </c>
      <c r="E20" s="25"/>
      <c r="F20" s="19"/>
      <c r="G20" s="25"/>
      <c r="H20" s="12">
        <f t="shared" si="0"/>
        <v>1</v>
      </c>
      <c r="I20" s="12">
        <f t="shared" si="1"/>
        <v>2</v>
      </c>
      <c r="J20" s="12">
        <f>IF(AND($H20=1,$B20&lt;&gt;"",ISNUMBER($C20)),IF(((('Lucy Levene'!B20=$B20)*ISNUMBER('Lucy Levene'!C20)*(ABS('Lucy Levene'!C20-$C20)&lt;VisitHrs/24)+('Lucy Levene'!D20=$B20)*ISNUMBER('Lucy Levene'!E20)*(ABS('Lucy Levene'!E20-$C20)&lt;VisitHrs/24)+('Lucy Levene'!F20=$B20)*ISNUMBER('Lucy Levene'!G20)*(ABS('Lucy Levene'!G20-$C20)&lt;VisitHrs/24)+('Tom Bock'!B20=$B20)*ISNUMBER('Tom Bock'!C20)*(ABS('Tom Bock'!C20-$C20)&lt;VisitHrs/24)+('Tom Bock'!D20=$B20)*ISNUMBER('Tom Bock'!E20)*(ABS('Tom Bock'!E20-$C20)&lt;VisitHrs/24)+('Tom Bock'!F20=$B20)*ISNUMBER('Tom Bock'!G20)*(ABS('Tom Bock'!G20-$C20)&lt;VisitHrs/24)+(Jeremy!B20=$B20)*ISNUMBER(Jeremy!C20)*(ABS(Jeremy!C20-$C20)&lt;VisitHrs/24)+(Jeremy!D20=$B20)*ISNUMBER(Jeremy!E20)*(ABS(Jeremy!E20-$C20)&lt;VisitHrs/24)+(Jeremy!F20=$B20)*ISNUMBER(Jeremy!G20)*(ABS(Jeremy!G20-$C20)&lt;VisitHrs/24)+('Test Patient'!B20=$B20)*ISNUMBER('Test Patient'!C20)*(ABS('Test Patient'!C20-$C20)&lt;VisitHrs/24)+('Test Patient'!D20=$B20)*ISNUMBER('Test Patient'!E20)*(ABS('Test Patient'!E20-$C20)&lt;VisitHrs/24)+('Test Patient'!F20=$B20)*ISNUMBER('Test Patient'!G20)*(ABS('Test Patient'!G20-$C20)&lt;VisitHrs/24))-1)+('Anita Klesch'!$B20=$B20)*($C20&lt;DayEnd)*($C20+VisitHrs/24&gt;DayStart)+('Anita Klesch'!$C20=$B20)*((($C20+VisitHrs/24&gt;DayEnd)+($C20&lt;DayStart))&gt;0)+('Test Patient 2'!$B20=$B20)*($C20&lt;DayEnd)*($C20+VisitHrs/24&gt;DayStart)+('Test Patient 2'!$C20=$B20)*((($C20+VisitHrs/24&gt;DayEnd)+($C20&lt;DayStart))&gt;0)&gt;=1,1,0),0)</f>
        <v>0</v>
      </c>
      <c r="K20" s="12">
        <f>IF(AND($H20=1,$D20&lt;&gt;"",ISNUMBER($E20)),IF(((('Lucy Levene'!B20=$D20)*ISNUMBER('Lucy Levene'!C20)*(ABS('Lucy Levene'!C20-$E20)&lt;VisitHrs/24)+('Lucy Levene'!D20=$D20)*ISNUMBER('Lucy Levene'!E20)*(ABS('Lucy Levene'!E20-$E20)&lt;VisitHrs/24)+('Lucy Levene'!F20=$D20)*ISNUMBER('Lucy Levene'!G20)*(ABS('Lucy Levene'!G20-$E20)&lt;VisitHrs/24)+('Tom Bock'!B20=$D20)*ISNUMBER('Tom Bock'!C20)*(ABS('Tom Bock'!C20-$E20)&lt;VisitHrs/24)+('Tom Bock'!D20=$D20)*ISNUMBER('Tom Bock'!E20)*(ABS('Tom Bock'!E20-$E20)&lt;VisitHrs/24)+('Tom Bock'!F20=$D20)*ISNUMBER('Tom Bock'!G20)*(ABS('Tom Bock'!G20-$E20)&lt;VisitHrs/24)+(Jeremy!B20=$D20)*ISNUMBER(Jeremy!C20)*(ABS(Jeremy!C20-$E20)&lt;VisitHrs/24)+(Jeremy!D20=$D20)*ISNUMBER(Jeremy!E20)*(ABS(Jeremy!E20-$E20)&lt;VisitHrs/24)+(Jeremy!F20=$D20)*ISNUMBER(Jeremy!G20)*(ABS(Jeremy!G20-$E20)&lt;VisitHrs/24)+('Test Patient'!B20=$D20)*ISNUMBER('Test Patient'!C20)*(ABS('Test Patient'!C20-$E20)&lt;VisitHrs/24)+('Test Patient'!D20=$D20)*ISNUMBER('Test Patient'!E20)*(ABS('Test Patient'!E20-$E20)&lt;VisitHrs/24)+('Test Patient'!F20=$D20)*ISNUMBER('Test Patient'!G20)*(ABS('Test Patient'!G20-$E20)&lt;VisitHrs/24))-1)+('Anita Klesch'!$B20=$D20)*($E20&lt;DayEnd)*($E20+VisitHrs/24&gt;DayStart)+('Anita Klesch'!$C20=$D20)*((($E20+VisitHrs/24&gt;DayEnd)+($E20&lt;DayStart))&gt;0)+('Test Patient 2'!$B20=$D20)*($E20&lt;DayEnd)*($E20+VisitHrs/24&gt;DayStart)+('Test Patient 2'!$C20=$D20)*((($E20+VisitHrs/24&gt;DayEnd)+($E20&lt;DayStart))&gt;0)&gt;=1,1,0),0)</f>
        <v>0</v>
      </c>
      <c r="L20" s="12">
        <f>IF(AND($H20=1,$F20&lt;&gt;"",ISNUMBER($G20)),IF(((('Lucy Levene'!B20=$F20)*ISNUMBER('Lucy Levene'!C20)*(ABS('Lucy Levene'!C20-$G20)&lt;VisitHrs/24)+('Lucy Levene'!D20=$F20)*ISNUMBER('Lucy Levene'!E20)*(ABS('Lucy Levene'!E20-$G20)&lt;VisitHrs/24)+('Lucy Levene'!F20=$F20)*ISNUMBER('Lucy Levene'!G20)*(ABS('Lucy Levene'!G20-$G20)&lt;VisitHrs/24)+('Tom Bock'!B20=$F20)*ISNUMBER('Tom Bock'!C20)*(ABS('Tom Bock'!C20-$G20)&lt;VisitHrs/24)+('Tom Bock'!D20=$F20)*ISNUMBER('Tom Bock'!E20)*(ABS('Tom Bock'!E20-$G20)&lt;VisitHrs/24)+('Tom Bock'!F20=$F20)*ISNUMBER('Tom Bock'!G20)*(ABS('Tom Bock'!G20-$G20)&lt;VisitHrs/24)+(Jeremy!B20=$F20)*ISNUMBER(Jeremy!C20)*(ABS(Jeremy!C20-$G20)&lt;VisitHrs/24)+(Jeremy!D20=$F20)*ISNUMBER(Jeremy!E20)*(ABS(Jeremy!E20-$G20)&lt;VisitHrs/24)+(Jeremy!F20=$F20)*ISNUMBER(Jeremy!G20)*(ABS(Jeremy!G20-$G20)&lt;VisitHrs/24)+('Test Patient'!B20=$F20)*ISNUMBER('Test Patient'!C20)*(ABS('Test Patient'!C20-$G20)&lt;VisitHrs/24)+('Test Patient'!D20=$F20)*ISNUMBER('Test Patient'!E20)*(ABS('Test Patient'!E20-$G20)&lt;VisitHrs/24)+('Test Patient'!F20=$F20)*ISNUMBER('Test Patient'!G20)*(ABS('Test Patient'!G20-$G20)&lt;VisitHrs/24))-1)+('Anita Klesch'!$B20=$F20)*($G20&lt;DayEnd)*($G20+VisitHrs/24&gt;DayStart)+('Anita Klesch'!$C20=$F20)*((($G20+VisitHrs/24&gt;DayEnd)+($G20&lt;DayStart))&gt;0)+('Test Patient 2'!$B20=$F20)*($G20&lt;DayEnd)*($G20+VisitHrs/24&gt;DayStart)+('Test Patient 2'!$C20=$F20)*((($G20+VisitHrs/24&gt;DayEnd)+($G20&lt;DayStart))&gt;0)&gt;=1,1,0),0)</f>
        <v>0</v>
      </c>
      <c r="M20" s="12" t="str">
        <f t="shared" si="2"/>
        <v>Rochelle</v>
      </c>
      <c r="N20" s="12" t="str">
        <f t="shared" si="3"/>
        <v>Roderick</v>
      </c>
      <c r="O20" s="12">
        <f t="shared" si="4"/>
        <v>0</v>
      </c>
    </row>
    <row r="21" spans="1:15" x14ac:dyDescent="0.2">
      <c r="A21" s="2">
        <f t="shared" si="5"/>
        <v>46227</v>
      </c>
      <c r="B21" s="19" t="s">
        <v>13</v>
      </c>
      <c r="C21" s="24"/>
      <c r="D21" s="19" t="s">
        <v>14</v>
      </c>
      <c r="E21" s="25"/>
      <c r="F21" s="19"/>
      <c r="G21" s="25"/>
      <c r="H21" s="12">
        <f t="shared" si="0"/>
        <v>1</v>
      </c>
      <c r="I21" s="12">
        <f t="shared" si="1"/>
        <v>2</v>
      </c>
      <c r="J21" s="12">
        <f>IF(AND($H21=1,$B21&lt;&gt;"",ISNUMBER($C21)),IF(((('Lucy Levene'!B21=$B21)*ISNUMBER('Lucy Levene'!C21)*(ABS('Lucy Levene'!C21-$C21)&lt;VisitHrs/24)+('Lucy Levene'!D21=$B21)*ISNUMBER('Lucy Levene'!E21)*(ABS('Lucy Levene'!E21-$C21)&lt;VisitHrs/24)+('Lucy Levene'!F21=$B21)*ISNUMBER('Lucy Levene'!G21)*(ABS('Lucy Levene'!G21-$C21)&lt;VisitHrs/24)+('Tom Bock'!B21=$B21)*ISNUMBER('Tom Bock'!C21)*(ABS('Tom Bock'!C21-$C21)&lt;VisitHrs/24)+('Tom Bock'!D21=$B21)*ISNUMBER('Tom Bock'!E21)*(ABS('Tom Bock'!E21-$C21)&lt;VisitHrs/24)+('Tom Bock'!F21=$B21)*ISNUMBER('Tom Bock'!G21)*(ABS('Tom Bock'!G21-$C21)&lt;VisitHrs/24)+(Jeremy!B21=$B21)*ISNUMBER(Jeremy!C21)*(ABS(Jeremy!C21-$C21)&lt;VisitHrs/24)+(Jeremy!D21=$B21)*ISNUMBER(Jeremy!E21)*(ABS(Jeremy!E21-$C21)&lt;VisitHrs/24)+(Jeremy!F21=$B21)*ISNUMBER(Jeremy!G21)*(ABS(Jeremy!G21-$C21)&lt;VisitHrs/24)+('Test Patient'!B21=$B21)*ISNUMBER('Test Patient'!C21)*(ABS('Test Patient'!C21-$C21)&lt;VisitHrs/24)+('Test Patient'!D21=$B21)*ISNUMBER('Test Patient'!E21)*(ABS('Test Patient'!E21-$C21)&lt;VisitHrs/24)+('Test Patient'!F21=$B21)*ISNUMBER('Test Patient'!G21)*(ABS('Test Patient'!G21-$C21)&lt;VisitHrs/24))-1)+('Anita Klesch'!$B21=$B21)*($C21&lt;DayEnd)*($C21+VisitHrs/24&gt;DayStart)+('Anita Klesch'!$C21=$B21)*((($C21+VisitHrs/24&gt;DayEnd)+($C21&lt;DayStart))&gt;0)+('Test Patient 2'!$B21=$B21)*($C21&lt;DayEnd)*($C21+VisitHrs/24&gt;DayStart)+('Test Patient 2'!$C21=$B21)*((($C21+VisitHrs/24&gt;DayEnd)+($C21&lt;DayStart))&gt;0)&gt;=1,1,0),0)</f>
        <v>0</v>
      </c>
      <c r="K21" s="12">
        <f>IF(AND($H21=1,$D21&lt;&gt;"",ISNUMBER($E21)),IF(((('Lucy Levene'!B21=$D21)*ISNUMBER('Lucy Levene'!C21)*(ABS('Lucy Levene'!C21-$E21)&lt;VisitHrs/24)+('Lucy Levene'!D21=$D21)*ISNUMBER('Lucy Levene'!E21)*(ABS('Lucy Levene'!E21-$E21)&lt;VisitHrs/24)+('Lucy Levene'!F21=$D21)*ISNUMBER('Lucy Levene'!G21)*(ABS('Lucy Levene'!G21-$E21)&lt;VisitHrs/24)+('Tom Bock'!B21=$D21)*ISNUMBER('Tom Bock'!C21)*(ABS('Tom Bock'!C21-$E21)&lt;VisitHrs/24)+('Tom Bock'!D21=$D21)*ISNUMBER('Tom Bock'!E21)*(ABS('Tom Bock'!E21-$E21)&lt;VisitHrs/24)+('Tom Bock'!F21=$D21)*ISNUMBER('Tom Bock'!G21)*(ABS('Tom Bock'!G21-$E21)&lt;VisitHrs/24)+(Jeremy!B21=$D21)*ISNUMBER(Jeremy!C21)*(ABS(Jeremy!C21-$E21)&lt;VisitHrs/24)+(Jeremy!D21=$D21)*ISNUMBER(Jeremy!E21)*(ABS(Jeremy!E21-$E21)&lt;VisitHrs/24)+(Jeremy!F21=$D21)*ISNUMBER(Jeremy!G21)*(ABS(Jeremy!G21-$E21)&lt;VisitHrs/24)+('Test Patient'!B21=$D21)*ISNUMBER('Test Patient'!C21)*(ABS('Test Patient'!C21-$E21)&lt;VisitHrs/24)+('Test Patient'!D21=$D21)*ISNUMBER('Test Patient'!E21)*(ABS('Test Patient'!E21-$E21)&lt;VisitHrs/24)+('Test Patient'!F21=$D21)*ISNUMBER('Test Patient'!G21)*(ABS('Test Patient'!G21-$E21)&lt;VisitHrs/24))-1)+('Anita Klesch'!$B21=$D21)*($E21&lt;DayEnd)*($E21+VisitHrs/24&gt;DayStart)+('Anita Klesch'!$C21=$D21)*((($E21+VisitHrs/24&gt;DayEnd)+($E21&lt;DayStart))&gt;0)+('Test Patient 2'!$B21=$D21)*($E21&lt;DayEnd)*($E21+VisitHrs/24&gt;DayStart)+('Test Patient 2'!$C21=$D21)*((($E21+VisitHrs/24&gt;DayEnd)+($E21&lt;DayStart))&gt;0)&gt;=1,1,0),0)</f>
        <v>0</v>
      </c>
      <c r="L21" s="12">
        <f>IF(AND($H21=1,$F21&lt;&gt;"",ISNUMBER($G21)),IF(((('Lucy Levene'!B21=$F21)*ISNUMBER('Lucy Levene'!C21)*(ABS('Lucy Levene'!C21-$G21)&lt;VisitHrs/24)+('Lucy Levene'!D21=$F21)*ISNUMBER('Lucy Levene'!E21)*(ABS('Lucy Levene'!E21-$G21)&lt;VisitHrs/24)+('Lucy Levene'!F21=$F21)*ISNUMBER('Lucy Levene'!G21)*(ABS('Lucy Levene'!G21-$G21)&lt;VisitHrs/24)+('Tom Bock'!B21=$F21)*ISNUMBER('Tom Bock'!C21)*(ABS('Tom Bock'!C21-$G21)&lt;VisitHrs/24)+('Tom Bock'!D21=$F21)*ISNUMBER('Tom Bock'!E21)*(ABS('Tom Bock'!E21-$G21)&lt;VisitHrs/24)+('Tom Bock'!F21=$F21)*ISNUMBER('Tom Bock'!G21)*(ABS('Tom Bock'!G21-$G21)&lt;VisitHrs/24)+(Jeremy!B21=$F21)*ISNUMBER(Jeremy!C21)*(ABS(Jeremy!C21-$G21)&lt;VisitHrs/24)+(Jeremy!D21=$F21)*ISNUMBER(Jeremy!E21)*(ABS(Jeremy!E21-$G21)&lt;VisitHrs/24)+(Jeremy!F21=$F21)*ISNUMBER(Jeremy!G21)*(ABS(Jeremy!G21-$G21)&lt;VisitHrs/24)+('Test Patient'!B21=$F21)*ISNUMBER('Test Patient'!C21)*(ABS('Test Patient'!C21-$G21)&lt;VisitHrs/24)+('Test Patient'!D21=$F21)*ISNUMBER('Test Patient'!E21)*(ABS('Test Patient'!E21-$G21)&lt;VisitHrs/24)+('Test Patient'!F21=$F21)*ISNUMBER('Test Patient'!G21)*(ABS('Test Patient'!G21-$G21)&lt;VisitHrs/24))-1)+('Anita Klesch'!$B21=$F21)*($G21&lt;DayEnd)*($G21+VisitHrs/24&gt;DayStart)+('Anita Klesch'!$C21=$F21)*((($G21+VisitHrs/24&gt;DayEnd)+($G21&lt;DayStart))&gt;0)+('Test Patient 2'!$B21=$F21)*($G21&lt;DayEnd)*($G21+VisitHrs/24&gt;DayStart)+('Test Patient 2'!$C21=$F21)*((($G21+VisitHrs/24&gt;DayEnd)+($G21&lt;DayStart))&gt;0)&gt;=1,1,0),0)</f>
        <v>0</v>
      </c>
      <c r="M21" s="12" t="str">
        <f t="shared" si="2"/>
        <v>Billie</v>
      </c>
      <c r="N21" s="12" t="str">
        <f t="shared" si="3"/>
        <v>Roderick</v>
      </c>
      <c r="O21" s="12">
        <f t="shared" si="4"/>
        <v>0</v>
      </c>
    </row>
    <row r="22" spans="1:15" x14ac:dyDescent="0.2">
      <c r="A22" s="2">
        <f t="shared" si="5"/>
        <v>46228</v>
      </c>
      <c r="B22" s="19" t="s">
        <v>14</v>
      </c>
      <c r="C22" s="24"/>
      <c r="D22" s="19" t="s">
        <v>13</v>
      </c>
      <c r="E22" s="25"/>
      <c r="F22" s="19"/>
      <c r="G22" s="25"/>
      <c r="H22" s="12">
        <f t="shared" si="0"/>
        <v>1</v>
      </c>
      <c r="I22" s="12">
        <f t="shared" si="1"/>
        <v>2</v>
      </c>
      <c r="J22" s="12">
        <f>IF(AND($H22=1,$B22&lt;&gt;"",ISNUMBER($C22)),IF(((('Lucy Levene'!B22=$B22)*ISNUMBER('Lucy Levene'!C22)*(ABS('Lucy Levene'!C22-$C22)&lt;VisitHrs/24)+('Lucy Levene'!D22=$B22)*ISNUMBER('Lucy Levene'!E22)*(ABS('Lucy Levene'!E22-$C22)&lt;VisitHrs/24)+('Lucy Levene'!F22=$B22)*ISNUMBER('Lucy Levene'!G22)*(ABS('Lucy Levene'!G22-$C22)&lt;VisitHrs/24)+('Tom Bock'!B22=$B22)*ISNUMBER('Tom Bock'!C22)*(ABS('Tom Bock'!C22-$C22)&lt;VisitHrs/24)+('Tom Bock'!D22=$B22)*ISNUMBER('Tom Bock'!E22)*(ABS('Tom Bock'!E22-$C22)&lt;VisitHrs/24)+('Tom Bock'!F22=$B22)*ISNUMBER('Tom Bock'!G22)*(ABS('Tom Bock'!G22-$C22)&lt;VisitHrs/24)+(Jeremy!B22=$B22)*ISNUMBER(Jeremy!C22)*(ABS(Jeremy!C22-$C22)&lt;VisitHrs/24)+(Jeremy!D22=$B22)*ISNUMBER(Jeremy!E22)*(ABS(Jeremy!E22-$C22)&lt;VisitHrs/24)+(Jeremy!F22=$B22)*ISNUMBER(Jeremy!G22)*(ABS(Jeremy!G22-$C22)&lt;VisitHrs/24)+('Test Patient'!B22=$B22)*ISNUMBER('Test Patient'!C22)*(ABS('Test Patient'!C22-$C22)&lt;VisitHrs/24)+('Test Patient'!D22=$B22)*ISNUMBER('Test Patient'!E22)*(ABS('Test Patient'!E22-$C22)&lt;VisitHrs/24)+('Test Patient'!F22=$B22)*ISNUMBER('Test Patient'!G22)*(ABS('Test Patient'!G22-$C22)&lt;VisitHrs/24))-1)+('Anita Klesch'!$B22=$B22)*($C22&lt;DayEnd)*($C22+VisitHrs/24&gt;DayStart)+('Anita Klesch'!$C22=$B22)*((($C22+VisitHrs/24&gt;DayEnd)+($C22&lt;DayStart))&gt;0)+('Test Patient 2'!$B22=$B22)*($C22&lt;DayEnd)*($C22+VisitHrs/24&gt;DayStart)+('Test Patient 2'!$C22=$B22)*((($C22+VisitHrs/24&gt;DayEnd)+($C22&lt;DayStart))&gt;0)&gt;=1,1,0),0)</f>
        <v>0</v>
      </c>
      <c r="K22" s="12">
        <f>IF(AND($H22=1,$D22&lt;&gt;"",ISNUMBER($E22)),IF(((('Lucy Levene'!B22=$D22)*ISNUMBER('Lucy Levene'!C22)*(ABS('Lucy Levene'!C22-$E22)&lt;VisitHrs/24)+('Lucy Levene'!D22=$D22)*ISNUMBER('Lucy Levene'!E22)*(ABS('Lucy Levene'!E22-$E22)&lt;VisitHrs/24)+('Lucy Levene'!F22=$D22)*ISNUMBER('Lucy Levene'!G22)*(ABS('Lucy Levene'!G22-$E22)&lt;VisitHrs/24)+('Tom Bock'!B22=$D22)*ISNUMBER('Tom Bock'!C22)*(ABS('Tom Bock'!C22-$E22)&lt;VisitHrs/24)+('Tom Bock'!D22=$D22)*ISNUMBER('Tom Bock'!E22)*(ABS('Tom Bock'!E22-$E22)&lt;VisitHrs/24)+('Tom Bock'!F22=$D22)*ISNUMBER('Tom Bock'!G22)*(ABS('Tom Bock'!G22-$E22)&lt;VisitHrs/24)+(Jeremy!B22=$D22)*ISNUMBER(Jeremy!C22)*(ABS(Jeremy!C22-$E22)&lt;VisitHrs/24)+(Jeremy!D22=$D22)*ISNUMBER(Jeremy!E22)*(ABS(Jeremy!E22-$E22)&lt;VisitHrs/24)+(Jeremy!F22=$D22)*ISNUMBER(Jeremy!G22)*(ABS(Jeremy!G22-$E22)&lt;VisitHrs/24)+('Test Patient'!B22=$D22)*ISNUMBER('Test Patient'!C22)*(ABS('Test Patient'!C22-$E22)&lt;VisitHrs/24)+('Test Patient'!D22=$D22)*ISNUMBER('Test Patient'!E22)*(ABS('Test Patient'!E22-$E22)&lt;VisitHrs/24)+('Test Patient'!F22=$D22)*ISNUMBER('Test Patient'!G22)*(ABS('Test Patient'!G22-$E22)&lt;VisitHrs/24))-1)+('Anita Klesch'!$B22=$D22)*($E22&lt;DayEnd)*($E22+VisitHrs/24&gt;DayStart)+('Anita Klesch'!$C22=$D22)*((($E22+VisitHrs/24&gt;DayEnd)+($E22&lt;DayStart))&gt;0)+('Test Patient 2'!$B22=$D22)*($E22&lt;DayEnd)*($E22+VisitHrs/24&gt;DayStart)+('Test Patient 2'!$C22=$D22)*((($E22+VisitHrs/24&gt;DayEnd)+($E22&lt;DayStart))&gt;0)&gt;=1,1,0),0)</f>
        <v>0</v>
      </c>
      <c r="L22" s="12">
        <f>IF(AND($H22=1,$F22&lt;&gt;"",ISNUMBER($G22)),IF(((('Lucy Levene'!B22=$F22)*ISNUMBER('Lucy Levene'!C22)*(ABS('Lucy Levene'!C22-$G22)&lt;VisitHrs/24)+('Lucy Levene'!D22=$F22)*ISNUMBER('Lucy Levene'!E22)*(ABS('Lucy Levene'!E22-$G22)&lt;VisitHrs/24)+('Lucy Levene'!F22=$F22)*ISNUMBER('Lucy Levene'!G22)*(ABS('Lucy Levene'!G22-$G22)&lt;VisitHrs/24)+('Tom Bock'!B22=$F22)*ISNUMBER('Tom Bock'!C22)*(ABS('Tom Bock'!C22-$G22)&lt;VisitHrs/24)+('Tom Bock'!D22=$F22)*ISNUMBER('Tom Bock'!E22)*(ABS('Tom Bock'!E22-$G22)&lt;VisitHrs/24)+('Tom Bock'!F22=$F22)*ISNUMBER('Tom Bock'!G22)*(ABS('Tom Bock'!G22-$G22)&lt;VisitHrs/24)+(Jeremy!B22=$F22)*ISNUMBER(Jeremy!C22)*(ABS(Jeremy!C22-$G22)&lt;VisitHrs/24)+(Jeremy!D22=$F22)*ISNUMBER(Jeremy!E22)*(ABS(Jeremy!E22-$G22)&lt;VisitHrs/24)+(Jeremy!F22=$F22)*ISNUMBER(Jeremy!G22)*(ABS(Jeremy!G22-$G22)&lt;VisitHrs/24)+('Test Patient'!B22=$F22)*ISNUMBER('Test Patient'!C22)*(ABS('Test Patient'!C22-$G22)&lt;VisitHrs/24)+('Test Patient'!D22=$F22)*ISNUMBER('Test Patient'!E22)*(ABS('Test Patient'!E22-$G22)&lt;VisitHrs/24)+('Test Patient'!F22=$F22)*ISNUMBER('Test Patient'!G22)*(ABS('Test Patient'!G22-$G22)&lt;VisitHrs/24))-1)+('Anita Klesch'!$B22=$F22)*($G22&lt;DayEnd)*($G22+VisitHrs/24&gt;DayStart)+('Anita Klesch'!$C22=$F22)*((($G22+VisitHrs/24&gt;DayEnd)+($G22&lt;DayStart))&gt;0)+('Test Patient 2'!$B22=$F22)*($G22&lt;DayEnd)*($G22+VisitHrs/24&gt;DayStart)+('Test Patient 2'!$C22=$F22)*((($G22+VisitHrs/24&gt;DayEnd)+($G22&lt;DayStart))&gt;0)&gt;=1,1,0),0)</f>
        <v>0</v>
      </c>
      <c r="M22" s="12" t="str">
        <f t="shared" si="2"/>
        <v>Roderick</v>
      </c>
      <c r="N22" s="12" t="str">
        <f t="shared" si="3"/>
        <v>Billie</v>
      </c>
      <c r="O22" s="12">
        <f t="shared" si="4"/>
        <v>0</v>
      </c>
    </row>
    <row r="23" spans="1:15" x14ac:dyDescent="0.2">
      <c r="A23" s="2">
        <f t="shared" si="5"/>
        <v>46229</v>
      </c>
      <c r="B23" s="19" t="s">
        <v>17</v>
      </c>
      <c r="C23" s="24"/>
      <c r="D23" s="19" t="s">
        <v>17</v>
      </c>
      <c r="E23" s="25"/>
      <c r="F23" s="19"/>
      <c r="G23" s="25"/>
      <c r="H23" s="12">
        <f t="shared" si="0"/>
        <v>1</v>
      </c>
      <c r="I23" s="12">
        <f t="shared" si="1"/>
        <v>2</v>
      </c>
      <c r="J23" s="12">
        <f>IF(AND($H23=1,$B23&lt;&gt;"",ISNUMBER($C23)),IF(((('Lucy Levene'!B23=$B23)*ISNUMBER('Lucy Levene'!C23)*(ABS('Lucy Levene'!C23-$C23)&lt;VisitHrs/24)+('Lucy Levene'!D23=$B23)*ISNUMBER('Lucy Levene'!E23)*(ABS('Lucy Levene'!E23-$C23)&lt;VisitHrs/24)+('Lucy Levene'!F23=$B23)*ISNUMBER('Lucy Levene'!G23)*(ABS('Lucy Levene'!G23-$C23)&lt;VisitHrs/24)+('Tom Bock'!B23=$B23)*ISNUMBER('Tom Bock'!C23)*(ABS('Tom Bock'!C23-$C23)&lt;VisitHrs/24)+('Tom Bock'!D23=$B23)*ISNUMBER('Tom Bock'!E23)*(ABS('Tom Bock'!E23-$C23)&lt;VisitHrs/24)+('Tom Bock'!F23=$B23)*ISNUMBER('Tom Bock'!G23)*(ABS('Tom Bock'!G23-$C23)&lt;VisitHrs/24)+(Jeremy!B23=$B23)*ISNUMBER(Jeremy!C23)*(ABS(Jeremy!C23-$C23)&lt;VisitHrs/24)+(Jeremy!D23=$B23)*ISNUMBER(Jeremy!E23)*(ABS(Jeremy!E23-$C23)&lt;VisitHrs/24)+(Jeremy!F23=$B23)*ISNUMBER(Jeremy!G23)*(ABS(Jeremy!G23-$C23)&lt;VisitHrs/24)+('Test Patient'!B23=$B23)*ISNUMBER('Test Patient'!C23)*(ABS('Test Patient'!C23-$C23)&lt;VisitHrs/24)+('Test Patient'!D23=$B23)*ISNUMBER('Test Patient'!E23)*(ABS('Test Patient'!E23-$C23)&lt;VisitHrs/24)+('Test Patient'!F23=$B23)*ISNUMBER('Test Patient'!G23)*(ABS('Test Patient'!G23-$C23)&lt;VisitHrs/24))-1)+('Anita Klesch'!$B23=$B23)*($C23&lt;DayEnd)*($C23+VisitHrs/24&gt;DayStart)+('Anita Klesch'!$C23=$B23)*((($C23+VisitHrs/24&gt;DayEnd)+($C23&lt;DayStart))&gt;0)+('Test Patient 2'!$B23=$B23)*($C23&lt;DayEnd)*($C23+VisitHrs/24&gt;DayStart)+('Test Patient 2'!$C23=$B23)*((($C23+VisitHrs/24&gt;DayEnd)+($C23&lt;DayStart))&gt;0)&gt;=1,1,0),0)</f>
        <v>0</v>
      </c>
      <c r="K23" s="12">
        <f>IF(AND($H23=1,$D23&lt;&gt;"",ISNUMBER($E23)),IF(((('Lucy Levene'!B23=$D23)*ISNUMBER('Lucy Levene'!C23)*(ABS('Lucy Levene'!C23-$E23)&lt;VisitHrs/24)+('Lucy Levene'!D23=$D23)*ISNUMBER('Lucy Levene'!E23)*(ABS('Lucy Levene'!E23-$E23)&lt;VisitHrs/24)+('Lucy Levene'!F23=$D23)*ISNUMBER('Lucy Levene'!G23)*(ABS('Lucy Levene'!G23-$E23)&lt;VisitHrs/24)+('Tom Bock'!B23=$D23)*ISNUMBER('Tom Bock'!C23)*(ABS('Tom Bock'!C23-$E23)&lt;VisitHrs/24)+('Tom Bock'!D23=$D23)*ISNUMBER('Tom Bock'!E23)*(ABS('Tom Bock'!E23-$E23)&lt;VisitHrs/24)+('Tom Bock'!F23=$D23)*ISNUMBER('Tom Bock'!G23)*(ABS('Tom Bock'!G23-$E23)&lt;VisitHrs/24)+(Jeremy!B23=$D23)*ISNUMBER(Jeremy!C23)*(ABS(Jeremy!C23-$E23)&lt;VisitHrs/24)+(Jeremy!D23=$D23)*ISNUMBER(Jeremy!E23)*(ABS(Jeremy!E23-$E23)&lt;VisitHrs/24)+(Jeremy!F23=$D23)*ISNUMBER(Jeremy!G23)*(ABS(Jeremy!G23-$E23)&lt;VisitHrs/24)+('Test Patient'!B23=$D23)*ISNUMBER('Test Patient'!C23)*(ABS('Test Patient'!C23-$E23)&lt;VisitHrs/24)+('Test Patient'!D23=$D23)*ISNUMBER('Test Patient'!E23)*(ABS('Test Patient'!E23-$E23)&lt;VisitHrs/24)+('Test Patient'!F23=$D23)*ISNUMBER('Test Patient'!G23)*(ABS('Test Patient'!G23-$E23)&lt;VisitHrs/24))-1)+('Anita Klesch'!$B23=$D23)*($E23&lt;DayEnd)*($E23+VisitHrs/24&gt;DayStart)+('Anita Klesch'!$C23=$D23)*((($E23+VisitHrs/24&gt;DayEnd)+($E23&lt;DayStart))&gt;0)+('Test Patient 2'!$B23=$D23)*($E23&lt;DayEnd)*($E23+VisitHrs/24&gt;DayStart)+('Test Patient 2'!$C23=$D23)*((($E23+VisitHrs/24&gt;DayEnd)+($E23&lt;DayStart))&gt;0)&gt;=1,1,0),0)</f>
        <v>0</v>
      </c>
      <c r="L23" s="12">
        <f>IF(AND($H23=1,$F23&lt;&gt;"",ISNUMBER($G23)),IF(((('Lucy Levene'!B23=$F23)*ISNUMBER('Lucy Levene'!C23)*(ABS('Lucy Levene'!C23-$G23)&lt;VisitHrs/24)+('Lucy Levene'!D23=$F23)*ISNUMBER('Lucy Levene'!E23)*(ABS('Lucy Levene'!E23-$G23)&lt;VisitHrs/24)+('Lucy Levene'!F23=$F23)*ISNUMBER('Lucy Levene'!G23)*(ABS('Lucy Levene'!G23-$G23)&lt;VisitHrs/24)+('Tom Bock'!B23=$F23)*ISNUMBER('Tom Bock'!C23)*(ABS('Tom Bock'!C23-$G23)&lt;VisitHrs/24)+('Tom Bock'!D23=$F23)*ISNUMBER('Tom Bock'!E23)*(ABS('Tom Bock'!E23-$G23)&lt;VisitHrs/24)+('Tom Bock'!F23=$F23)*ISNUMBER('Tom Bock'!G23)*(ABS('Tom Bock'!G23-$G23)&lt;VisitHrs/24)+(Jeremy!B23=$F23)*ISNUMBER(Jeremy!C23)*(ABS(Jeremy!C23-$G23)&lt;VisitHrs/24)+(Jeremy!D23=$F23)*ISNUMBER(Jeremy!E23)*(ABS(Jeremy!E23-$G23)&lt;VisitHrs/24)+(Jeremy!F23=$F23)*ISNUMBER(Jeremy!G23)*(ABS(Jeremy!G23-$G23)&lt;VisitHrs/24)+('Test Patient'!B23=$F23)*ISNUMBER('Test Patient'!C23)*(ABS('Test Patient'!C23-$G23)&lt;VisitHrs/24)+('Test Patient'!D23=$F23)*ISNUMBER('Test Patient'!E23)*(ABS('Test Patient'!E23-$G23)&lt;VisitHrs/24)+('Test Patient'!F23=$F23)*ISNUMBER('Test Patient'!G23)*(ABS('Test Patient'!G23-$G23)&lt;VisitHrs/24))-1)+('Anita Klesch'!$B23=$F23)*($G23&lt;DayEnd)*($G23+VisitHrs/24&gt;DayStart)+('Anita Klesch'!$C23=$F23)*((($G23+VisitHrs/24&gt;DayEnd)+($G23&lt;DayStart))&gt;0)+('Test Patient 2'!$B23=$F23)*($G23&lt;DayEnd)*($G23+VisitHrs/24&gt;DayStart)+('Test Patient 2'!$C23=$F23)*((($G23+VisitHrs/24&gt;DayEnd)+($G23&lt;DayStart))&gt;0)&gt;=1,1,0),0)</f>
        <v>0</v>
      </c>
      <c r="M23" s="12" t="str">
        <f t="shared" si="2"/>
        <v>Meseret</v>
      </c>
      <c r="N23" s="12" t="str">
        <f t="shared" si="3"/>
        <v>Meseret</v>
      </c>
      <c r="O23" s="12">
        <f t="shared" si="4"/>
        <v>0</v>
      </c>
    </row>
    <row r="24" spans="1:15" x14ac:dyDescent="0.2">
      <c r="A24" s="2">
        <f t="shared" si="5"/>
        <v>46230</v>
      </c>
      <c r="B24" s="19" t="s">
        <v>13</v>
      </c>
      <c r="C24" s="24"/>
      <c r="D24" s="19" t="s">
        <v>14</v>
      </c>
      <c r="E24" s="25"/>
      <c r="F24" s="19"/>
      <c r="G24" s="25"/>
      <c r="H24" s="12">
        <f t="shared" si="0"/>
        <v>1</v>
      </c>
      <c r="I24" s="12">
        <f t="shared" si="1"/>
        <v>2</v>
      </c>
      <c r="J24" s="12">
        <f>IF(AND($H24=1,$B24&lt;&gt;"",ISNUMBER($C24)),IF(((('Lucy Levene'!B24=$B24)*ISNUMBER('Lucy Levene'!C24)*(ABS('Lucy Levene'!C24-$C24)&lt;VisitHrs/24)+('Lucy Levene'!D24=$B24)*ISNUMBER('Lucy Levene'!E24)*(ABS('Lucy Levene'!E24-$C24)&lt;VisitHrs/24)+('Lucy Levene'!F24=$B24)*ISNUMBER('Lucy Levene'!G24)*(ABS('Lucy Levene'!G24-$C24)&lt;VisitHrs/24)+('Tom Bock'!B24=$B24)*ISNUMBER('Tom Bock'!C24)*(ABS('Tom Bock'!C24-$C24)&lt;VisitHrs/24)+('Tom Bock'!D24=$B24)*ISNUMBER('Tom Bock'!E24)*(ABS('Tom Bock'!E24-$C24)&lt;VisitHrs/24)+('Tom Bock'!F24=$B24)*ISNUMBER('Tom Bock'!G24)*(ABS('Tom Bock'!G24-$C24)&lt;VisitHrs/24)+(Jeremy!B24=$B24)*ISNUMBER(Jeremy!C24)*(ABS(Jeremy!C24-$C24)&lt;VisitHrs/24)+(Jeremy!D24=$B24)*ISNUMBER(Jeremy!E24)*(ABS(Jeremy!E24-$C24)&lt;VisitHrs/24)+(Jeremy!F24=$B24)*ISNUMBER(Jeremy!G24)*(ABS(Jeremy!G24-$C24)&lt;VisitHrs/24)+('Test Patient'!B24=$B24)*ISNUMBER('Test Patient'!C24)*(ABS('Test Patient'!C24-$C24)&lt;VisitHrs/24)+('Test Patient'!D24=$B24)*ISNUMBER('Test Patient'!E24)*(ABS('Test Patient'!E24-$C24)&lt;VisitHrs/24)+('Test Patient'!F24=$B24)*ISNUMBER('Test Patient'!G24)*(ABS('Test Patient'!G24-$C24)&lt;VisitHrs/24))-1)+('Anita Klesch'!$B24=$B24)*($C24&lt;DayEnd)*($C24+VisitHrs/24&gt;DayStart)+('Anita Klesch'!$C24=$B24)*((($C24+VisitHrs/24&gt;DayEnd)+($C24&lt;DayStart))&gt;0)+('Test Patient 2'!$B24=$B24)*($C24&lt;DayEnd)*($C24+VisitHrs/24&gt;DayStart)+('Test Patient 2'!$C24=$B24)*((($C24+VisitHrs/24&gt;DayEnd)+($C24&lt;DayStart))&gt;0)&gt;=1,1,0),0)</f>
        <v>0</v>
      </c>
      <c r="K24" s="12">
        <f>IF(AND($H24=1,$D24&lt;&gt;"",ISNUMBER($E24)),IF(((('Lucy Levene'!B24=$D24)*ISNUMBER('Lucy Levene'!C24)*(ABS('Lucy Levene'!C24-$E24)&lt;VisitHrs/24)+('Lucy Levene'!D24=$D24)*ISNUMBER('Lucy Levene'!E24)*(ABS('Lucy Levene'!E24-$E24)&lt;VisitHrs/24)+('Lucy Levene'!F24=$D24)*ISNUMBER('Lucy Levene'!G24)*(ABS('Lucy Levene'!G24-$E24)&lt;VisitHrs/24)+('Tom Bock'!B24=$D24)*ISNUMBER('Tom Bock'!C24)*(ABS('Tom Bock'!C24-$E24)&lt;VisitHrs/24)+('Tom Bock'!D24=$D24)*ISNUMBER('Tom Bock'!E24)*(ABS('Tom Bock'!E24-$E24)&lt;VisitHrs/24)+('Tom Bock'!F24=$D24)*ISNUMBER('Tom Bock'!G24)*(ABS('Tom Bock'!G24-$E24)&lt;VisitHrs/24)+(Jeremy!B24=$D24)*ISNUMBER(Jeremy!C24)*(ABS(Jeremy!C24-$E24)&lt;VisitHrs/24)+(Jeremy!D24=$D24)*ISNUMBER(Jeremy!E24)*(ABS(Jeremy!E24-$E24)&lt;VisitHrs/24)+(Jeremy!F24=$D24)*ISNUMBER(Jeremy!G24)*(ABS(Jeremy!G24-$E24)&lt;VisitHrs/24)+('Test Patient'!B24=$D24)*ISNUMBER('Test Patient'!C24)*(ABS('Test Patient'!C24-$E24)&lt;VisitHrs/24)+('Test Patient'!D24=$D24)*ISNUMBER('Test Patient'!E24)*(ABS('Test Patient'!E24-$E24)&lt;VisitHrs/24)+('Test Patient'!F24=$D24)*ISNUMBER('Test Patient'!G24)*(ABS('Test Patient'!G24-$E24)&lt;VisitHrs/24))-1)+('Anita Klesch'!$B24=$D24)*($E24&lt;DayEnd)*($E24+VisitHrs/24&gt;DayStart)+('Anita Klesch'!$C24=$D24)*((($E24+VisitHrs/24&gt;DayEnd)+($E24&lt;DayStart))&gt;0)+('Test Patient 2'!$B24=$D24)*($E24&lt;DayEnd)*($E24+VisitHrs/24&gt;DayStart)+('Test Patient 2'!$C24=$D24)*((($E24+VisitHrs/24&gt;DayEnd)+($E24&lt;DayStart))&gt;0)&gt;=1,1,0),0)</f>
        <v>0</v>
      </c>
      <c r="L24" s="12">
        <f>IF(AND($H24=1,$F24&lt;&gt;"",ISNUMBER($G24)),IF(((('Lucy Levene'!B24=$F24)*ISNUMBER('Lucy Levene'!C24)*(ABS('Lucy Levene'!C24-$G24)&lt;VisitHrs/24)+('Lucy Levene'!D24=$F24)*ISNUMBER('Lucy Levene'!E24)*(ABS('Lucy Levene'!E24-$G24)&lt;VisitHrs/24)+('Lucy Levene'!F24=$F24)*ISNUMBER('Lucy Levene'!G24)*(ABS('Lucy Levene'!G24-$G24)&lt;VisitHrs/24)+('Tom Bock'!B24=$F24)*ISNUMBER('Tom Bock'!C24)*(ABS('Tom Bock'!C24-$G24)&lt;VisitHrs/24)+('Tom Bock'!D24=$F24)*ISNUMBER('Tom Bock'!E24)*(ABS('Tom Bock'!E24-$G24)&lt;VisitHrs/24)+('Tom Bock'!F24=$F24)*ISNUMBER('Tom Bock'!G24)*(ABS('Tom Bock'!G24-$G24)&lt;VisitHrs/24)+(Jeremy!B24=$F24)*ISNUMBER(Jeremy!C24)*(ABS(Jeremy!C24-$G24)&lt;VisitHrs/24)+(Jeremy!D24=$F24)*ISNUMBER(Jeremy!E24)*(ABS(Jeremy!E24-$G24)&lt;VisitHrs/24)+(Jeremy!F24=$F24)*ISNUMBER(Jeremy!G24)*(ABS(Jeremy!G24-$G24)&lt;VisitHrs/24)+('Test Patient'!B24=$F24)*ISNUMBER('Test Patient'!C24)*(ABS('Test Patient'!C24-$G24)&lt;VisitHrs/24)+('Test Patient'!D24=$F24)*ISNUMBER('Test Patient'!E24)*(ABS('Test Patient'!E24-$G24)&lt;VisitHrs/24)+('Test Patient'!F24=$F24)*ISNUMBER('Test Patient'!G24)*(ABS('Test Patient'!G24-$G24)&lt;VisitHrs/24))-1)+('Anita Klesch'!$B24=$F24)*($G24&lt;DayEnd)*($G24+VisitHrs/24&gt;DayStart)+('Anita Klesch'!$C24=$F24)*((($G24+VisitHrs/24&gt;DayEnd)+($G24&lt;DayStart))&gt;0)+('Test Patient 2'!$B24=$F24)*($G24&lt;DayEnd)*($G24+VisitHrs/24&gt;DayStart)+('Test Patient 2'!$C24=$F24)*((($G24+VisitHrs/24&gt;DayEnd)+($G24&lt;DayStart))&gt;0)&gt;=1,1,0),0)</f>
        <v>0</v>
      </c>
      <c r="M24" s="12" t="str">
        <f t="shared" si="2"/>
        <v>Billie</v>
      </c>
      <c r="N24" s="12" t="str">
        <f t="shared" si="3"/>
        <v>Roderick</v>
      </c>
      <c r="O24" s="12">
        <f t="shared" si="4"/>
        <v>0</v>
      </c>
    </row>
    <row r="25" spans="1:15" x14ac:dyDescent="0.2">
      <c r="A25" s="2">
        <f t="shared" si="5"/>
        <v>46231</v>
      </c>
      <c r="B25" s="19" t="s">
        <v>16</v>
      </c>
      <c r="C25" s="24"/>
      <c r="D25" s="19" t="s">
        <v>16</v>
      </c>
      <c r="E25" s="25"/>
      <c r="F25" s="19"/>
      <c r="G25" s="25"/>
      <c r="H25" s="12">
        <f t="shared" si="0"/>
        <v>1</v>
      </c>
      <c r="I25" s="12">
        <f t="shared" si="1"/>
        <v>2</v>
      </c>
      <c r="J25" s="12">
        <f>IF(AND($H25=1,$B25&lt;&gt;"",ISNUMBER($C25)),IF(((('Lucy Levene'!B25=$B25)*ISNUMBER('Lucy Levene'!C25)*(ABS('Lucy Levene'!C25-$C25)&lt;VisitHrs/24)+('Lucy Levene'!D25=$B25)*ISNUMBER('Lucy Levene'!E25)*(ABS('Lucy Levene'!E25-$C25)&lt;VisitHrs/24)+('Lucy Levene'!F25=$B25)*ISNUMBER('Lucy Levene'!G25)*(ABS('Lucy Levene'!G25-$C25)&lt;VisitHrs/24)+('Tom Bock'!B25=$B25)*ISNUMBER('Tom Bock'!C25)*(ABS('Tom Bock'!C25-$C25)&lt;VisitHrs/24)+('Tom Bock'!D25=$B25)*ISNUMBER('Tom Bock'!E25)*(ABS('Tom Bock'!E25-$C25)&lt;VisitHrs/24)+('Tom Bock'!F25=$B25)*ISNUMBER('Tom Bock'!G25)*(ABS('Tom Bock'!G25-$C25)&lt;VisitHrs/24)+(Jeremy!B25=$B25)*ISNUMBER(Jeremy!C25)*(ABS(Jeremy!C25-$C25)&lt;VisitHrs/24)+(Jeremy!D25=$B25)*ISNUMBER(Jeremy!E25)*(ABS(Jeremy!E25-$C25)&lt;VisitHrs/24)+(Jeremy!F25=$B25)*ISNUMBER(Jeremy!G25)*(ABS(Jeremy!G25-$C25)&lt;VisitHrs/24)+('Test Patient'!B25=$B25)*ISNUMBER('Test Patient'!C25)*(ABS('Test Patient'!C25-$C25)&lt;VisitHrs/24)+('Test Patient'!D25=$B25)*ISNUMBER('Test Patient'!E25)*(ABS('Test Patient'!E25-$C25)&lt;VisitHrs/24)+('Test Patient'!F25=$B25)*ISNUMBER('Test Patient'!G25)*(ABS('Test Patient'!G25-$C25)&lt;VisitHrs/24))-1)+('Anita Klesch'!$B25=$B25)*($C25&lt;DayEnd)*($C25+VisitHrs/24&gt;DayStart)+('Anita Klesch'!$C25=$B25)*((($C25+VisitHrs/24&gt;DayEnd)+($C25&lt;DayStart))&gt;0)+('Test Patient 2'!$B25=$B25)*($C25&lt;DayEnd)*($C25+VisitHrs/24&gt;DayStart)+('Test Patient 2'!$C25=$B25)*((($C25+VisitHrs/24&gt;DayEnd)+($C25&lt;DayStart))&gt;0)&gt;=1,1,0),0)</f>
        <v>0</v>
      </c>
      <c r="K25" s="12">
        <f>IF(AND($H25=1,$D25&lt;&gt;"",ISNUMBER($E25)),IF(((('Lucy Levene'!B25=$D25)*ISNUMBER('Lucy Levene'!C25)*(ABS('Lucy Levene'!C25-$E25)&lt;VisitHrs/24)+('Lucy Levene'!D25=$D25)*ISNUMBER('Lucy Levene'!E25)*(ABS('Lucy Levene'!E25-$E25)&lt;VisitHrs/24)+('Lucy Levene'!F25=$D25)*ISNUMBER('Lucy Levene'!G25)*(ABS('Lucy Levene'!G25-$E25)&lt;VisitHrs/24)+('Tom Bock'!B25=$D25)*ISNUMBER('Tom Bock'!C25)*(ABS('Tom Bock'!C25-$E25)&lt;VisitHrs/24)+('Tom Bock'!D25=$D25)*ISNUMBER('Tom Bock'!E25)*(ABS('Tom Bock'!E25-$E25)&lt;VisitHrs/24)+('Tom Bock'!F25=$D25)*ISNUMBER('Tom Bock'!G25)*(ABS('Tom Bock'!G25-$E25)&lt;VisitHrs/24)+(Jeremy!B25=$D25)*ISNUMBER(Jeremy!C25)*(ABS(Jeremy!C25-$E25)&lt;VisitHrs/24)+(Jeremy!D25=$D25)*ISNUMBER(Jeremy!E25)*(ABS(Jeremy!E25-$E25)&lt;VisitHrs/24)+(Jeremy!F25=$D25)*ISNUMBER(Jeremy!G25)*(ABS(Jeremy!G25-$E25)&lt;VisitHrs/24)+('Test Patient'!B25=$D25)*ISNUMBER('Test Patient'!C25)*(ABS('Test Patient'!C25-$E25)&lt;VisitHrs/24)+('Test Patient'!D25=$D25)*ISNUMBER('Test Patient'!E25)*(ABS('Test Patient'!E25-$E25)&lt;VisitHrs/24)+('Test Patient'!F25=$D25)*ISNUMBER('Test Patient'!G25)*(ABS('Test Patient'!G25-$E25)&lt;VisitHrs/24))-1)+('Anita Klesch'!$B25=$D25)*($E25&lt;DayEnd)*($E25+VisitHrs/24&gt;DayStart)+('Anita Klesch'!$C25=$D25)*((($E25+VisitHrs/24&gt;DayEnd)+($E25&lt;DayStart))&gt;0)+('Test Patient 2'!$B25=$D25)*($E25&lt;DayEnd)*($E25+VisitHrs/24&gt;DayStart)+('Test Patient 2'!$C25=$D25)*((($E25+VisitHrs/24&gt;DayEnd)+($E25&lt;DayStart))&gt;0)&gt;=1,1,0),0)</f>
        <v>0</v>
      </c>
      <c r="L25" s="12">
        <f>IF(AND($H25=1,$F25&lt;&gt;"",ISNUMBER($G25)),IF(((('Lucy Levene'!B25=$F25)*ISNUMBER('Lucy Levene'!C25)*(ABS('Lucy Levene'!C25-$G25)&lt;VisitHrs/24)+('Lucy Levene'!D25=$F25)*ISNUMBER('Lucy Levene'!E25)*(ABS('Lucy Levene'!E25-$G25)&lt;VisitHrs/24)+('Lucy Levene'!F25=$F25)*ISNUMBER('Lucy Levene'!G25)*(ABS('Lucy Levene'!G25-$G25)&lt;VisitHrs/24)+('Tom Bock'!B25=$F25)*ISNUMBER('Tom Bock'!C25)*(ABS('Tom Bock'!C25-$G25)&lt;VisitHrs/24)+('Tom Bock'!D25=$F25)*ISNUMBER('Tom Bock'!E25)*(ABS('Tom Bock'!E25-$G25)&lt;VisitHrs/24)+('Tom Bock'!F25=$F25)*ISNUMBER('Tom Bock'!G25)*(ABS('Tom Bock'!G25-$G25)&lt;VisitHrs/24)+(Jeremy!B25=$F25)*ISNUMBER(Jeremy!C25)*(ABS(Jeremy!C25-$G25)&lt;VisitHrs/24)+(Jeremy!D25=$F25)*ISNUMBER(Jeremy!E25)*(ABS(Jeremy!E25-$G25)&lt;VisitHrs/24)+(Jeremy!F25=$F25)*ISNUMBER(Jeremy!G25)*(ABS(Jeremy!G25-$G25)&lt;VisitHrs/24)+('Test Patient'!B25=$F25)*ISNUMBER('Test Patient'!C25)*(ABS('Test Patient'!C25-$G25)&lt;VisitHrs/24)+('Test Patient'!D25=$F25)*ISNUMBER('Test Patient'!E25)*(ABS('Test Patient'!E25-$G25)&lt;VisitHrs/24)+('Test Patient'!F25=$F25)*ISNUMBER('Test Patient'!G25)*(ABS('Test Patient'!G25-$G25)&lt;VisitHrs/24))-1)+('Anita Klesch'!$B25=$F25)*($G25&lt;DayEnd)*($G25+VisitHrs/24&gt;DayStart)+('Anita Klesch'!$C25=$F25)*((($G25+VisitHrs/24&gt;DayEnd)+($G25&lt;DayStart))&gt;0)+('Test Patient 2'!$B25=$F25)*($G25&lt;DayEnd)*($G25+VisitHrs/24&gt;DayStart)+('Test Patient 2'!$C25=$F25)*((($G25+VisitHrs/24&gt;DayEnd)+($G25&lt;DayStart))&gt;0)&gt;=1,1,0),0)</f>
        <v>0</v>
      </c>
      <c r="M25" s="12" t="str">
        <f t="shared" si="2"/>
        <v>Rochelle</v>
      </c>
      <c r="N25" s="12" t="str">
        <f t="shared" si="3"/>
        <v>Rochelle</v>
      </c>
      <c r="O25" s="12">
        <f t="shared" si="4"/>
        <v>0</v>
      </c>
    </row>
    <row r="26" spans="1:15" x14ac:dyDescent="0.2">
      <c r="A26" s="2">
        <f t="shared" si="5"/>
        <v>46232</v>
      </c>
      <c r="B26" s="19" t="s">
        <v>13</v>
      </c>
      <c r="C26" s="24"/>
      <c r="D26" s="19" t="s">
        <v>13</v>
      </c>
      <c r="E26" s="25"/>
      <c r="F26" s="19"/>
      <c r="G26" s="25"/>
      <c r="H26" s="12">
        <f t="shared" si="0"/>
        <v>1</v>
      </c>
      <c r="I26" s="12">
        <f t="shared" si="1"/>
        <v>2</v>
      </c>
      <c r="J26" s="12">
        <f>IF(AND($H26=1,$B26&lt;&gt;"",ISNUMBER($C26)),IF(((('Lucy Levene'!B26=$B26)*ISNUMBER('Lucy Levene'!C26)*(ABS('Lucy Levene'!C26-$C26)&lt;VisitHrs/24)+('Lucy Levene'!D26=$B26)*ISNUMBER('Lucy Levene'!E26)*(ABS('Lucy Levene'!E26-$C26)&lt;VisitHrs/24)+('Lucy Levene'!F26=$B26)*ISNUMBER('Lucy Levene'!G26)*(ABS('Lucy Levene'!G26-$C26)&lt;VisitHrs/24)+('Tom Bock'!B26=$B26)*ISNUMBER('Tom Bock'!C26)*(ABS('Tom Bock'!C26-$C26)&lt;VisitHrs/24)+('Tom Bock'!D26=$B26)*ISNUMBER('Tom Bock'!E26)*(ABS('Tom Bock'!E26-$C26)&lt;VisitHrs/24)+('Tom Bock'!F26=$B26)*ISNUMBER('Tom Bock'!G26)*(ABS('Tom Bock'!G26-$C26)&lt;VisitHrs/24)+(Jeremy!B26=$B26)*ISNUMBER(Jeremy!C26)*(ABS(Jeremy!C26-$C26)&lt;VisitHrs/24)+(Jeremy!D26=$B26)*ISNUMBER(Jeremy!E26)*(ABS(Jeremy!E26-$C26)&lt;VisitHrs/24)+(Jeremy!F26=$B26)*ISNUMBER(Jeremy!G26)*(ABS(Jeremy!G26-$C26)&lt;VisitHrs/24)+('Test Patient'!B26=$B26)*ISNUMBER('Test Patient'!C26)*(ABS('Test Patient'!C26-$C26)&lt;VisitHrs/24)+('Test Patient'!D26=$B26)*ISNUMBER('Test Patient'!E26)*(ABS('Test Patient'!E26-$C26)&lt;VisitHrs/24)+('Test Patient'!F26=$B26)*ISNUMBER('Test Patient'!G26)*(ABS('Test Patient'!G26-$C26)&lt;VisitHrs/24))-1)+('Anita Klesch'!$B26=$B26)*($C26&lt;DayEnd)*($C26+VisitHrs/24&gt;DayStart)+('Anita Klesch'!$C26=$B26)*((($C26+VisitHrs/24&gt;DayEnd)+($C26&lt;DayStart))&gt;0)+('Test Patient 2'!$B26=$B26)*($C26&lt;DayEnd)*($C26+VisitHrs/24&gt;DayStart)+('Test Patient 2'!$C26=$B26)*((($C26+VisitHrs/24&gt;DayEnd)+($C26&lt;DayStart))&gt;0)&gt;=1,1,0),0)</f>
        <v>0</v>
      </c>
      <c r="K26" s="12">
        <f>IF(AND($H26=1,$D26&lt;&gt;"",ISNUMBER($E26)),IF(((('Lucy Levene'!B26=$D26)*ISNUMBER('Lucy Levene'!C26)*(ABS('Lucy Levene'!C26-$E26)&lt;VisitHrs/24)+('Lucy Levene'!D26=$D26)*ISNUMBER('Lucy Levene'!E26)*(ABS('Lucy Levene'!E26-$E26)&lt;VisitHrs/24)+('Lucy Levene'!F26=$D26)*ISNUMBER('Lucy Levene'!G26)*(ABS('Lucy Levene'!G26-$E26)&lt;VisitHrs/24)+('Tom Bock'!B26=$D26)*ISNUMBER('Tom Bock'!C26)*(ABS('Tom Bock'!C26-$E26)&lt;VisitHrs/24)+('Tom Bock'!D26=$D26)*ISNUMBER('Tom Bock'!E26)*(ABS('Tom Bock'!E26-$E26)&lt;VisitHrs/24)+('Tom Bock'!F26=$D26)*ISNUMBER('Tom Bock'!G26)*(ABS('Tom Bock'!G26-$E26)&lt;VisitHrs/24)+(Jeremy!B26=$D26)*ISNUMBER(Jeremy!C26)*(ABS(Jeremy!C26-$E26)&lt;VisitHrs/24)+(Jeremy!D26=$D26)*ISNUMBER(Jeremy!E26)*(ABS(Jeremy!E26-$E26)&lt;VisitHrs/24)+(Jeremy!F26=$D26)*ISNUMBER(Jeremy!G26)*(ABS(Jeremy!G26-$E26)&lt;VisitHrs/24)+('Test Patient'!B26=$D26)*ISNUMBER('Test Patient'!C26)*(ABS('Test Patient'!C26-$E26)&lt;VisitHrs/24)+('Test Patient'!D26=$D26)*ISNUMBER('Test Patient'!E26)*(ABS('Test Patient'!E26-$E26)&lt;VisitHrs/24)+('Test Patient'!F26=$D26)*ISNUMBER('Test Patient'!G26)*(ABS('Test Patient'!G26-$E26)&lt;VisitHrs/24))-1)+('Anita Klesch'!$B26=$D26)*($E26&lt;DayEnd)*($E26+VisitHrs/24&gt;DayStart)+('Anita Klesch'!$C26=$D26)*((($E26+VisitHrs/24&gt;DayEnd)+($E26&lt;DayStart))&gt;0)+('Test Patient 2'!$B26=$D26)*($E26&lt;DayEnd)*($E26+VisitHrs/24&gt;DayStart)+('Test Patient 2'!$C26=$D26)*((($E26+VisitHrs/24&gt;DayEnd)+($E26&lt;DayStart))&gt;0)&gt;=1,1,0),0)</f>
        <v>0</v>
      </c>
      <c r="L26" s="12">
        <f>IF(AND($H26=1,$F26&lt;&gt;"",ISNUMBER($G26)),IF(((('Lucy Levene'!B26=$F26)*ISNUMBER('Lucy Levene'!C26)*(ABS('Lucy Levene'!C26-$G26)&lt;VisitHrs/24)+('Lucy Levene'!D26=$F26)*ISNUMBER('Lucy Levene'!E26)*(ABS('Lucy Levene'!E26-$G26)&lt;VisitHrs/24)+('Lucy Levene'!F26=$F26)*ISNUMBER('Lucy Levene'!G26)*(ABS('Lucy Levene'!G26-$G26)&lt;VisitHrs/24)+('Tom Bock'!B26=$F26)*ISNUMBER('Tom Bock'!C26)*(ABS('Tom Bock'!C26-$G26)&lt;VisitHrs/24)+('Tom Bock'!D26=$F26)*ISNUMBER('Tom Bock'!E26)*(ABS('Tom Bock'!E26-$G26)&lt;VisitHrs/24)+('Tom Bock'!F26=$F26)*ISNUMBER('Tom Bock'!G26)*(ABS('Tom Bock'!G26-$G26)&lt;VisitHrs/24)+(Jeremy!B26=$F26)*ISNUMBER(Jeremy!C26)*(ABS(Jeremy!C26-$G26)&lt;VisitHrs/24)+(Jeremy!D26=$F26)*ISNUMBER(Jeremy!E26)*(ABS(Jeremy!E26-$G26)&lt;VisitHrs/24)+(Jeremy!F26=$F26)*ISNUMBER(Jeremy!G26)*(ABS(Jeremy!G26-$G26)&lt;VisitHrs/24)+('Test Patient'!B26=$F26)*ISNUMBER('Test Patient'!C26)*(ABS('Test Patient'!C26-$G26)&lt;VisitHrs/24)+('Test Patient'!D26=$F26)*ISNUMBER('Test Patient'!E26)*(ABS('Test Patient'!E26-$G26)&lt;VisitHrs/24)+('Test Patient'!F26=$F26)*ISNUMBER('Test Patient'!G26)*(ABS('Test Patient'!G26-$G26)&lt;VisitHrs/24))-1)+('Anita Klesch'!$B26=$F26)*($G26&lt;DayEnd)*($G26+VisitHrs/24&gt;DayStart)+('Anita Klesch'!$C26=$F26)*((($G26+VisitHrs/24&gt;DayEnd)+($G26&lt;DayStart))&gt;0)+('Test Patient 2'!$B26=$F26)*($G26&lt;DayEnd)*($G26+VisitHrs/24&gt;DayStart)+('Test Patient 2'!$C26=$F26)*((($G26+VisitHrs/24&gt;DayEnd)+($G26&lt;DayStart))&gt;0)&gt;=1,1,0),0)</f>
        <v>0</v>
      </c>
      <c r="M26" s="12" t="str">
        <f t="shared" si="2"/>
        <v>Billie</v>
      </c>
      <c r="N26" s="12" t="str">
        <f t="shared" si="3"/>
        <v>Billie</v>
      </c>
      <c r="O26" s="12">
        <f t="shared" si="4"/>
        <v>0</v>
      </c>
    </row>
    <row r="27" spans="1:15" x14ac:dyDescent="0.2">
      <c r="A27" s="2">
        <f t="shared" si="5"/>
        <v>46233</v>
      </c>
      <c r="B27" s="19" t="s">
        <v>14</v>
      </c>
      <c r="C27" s="24"/>
      <c r="D27" s="19" t="s">
        <v>14</v>
      </c>
      <c r="E27" s="25"/>
      <c r="F27" s="19"/>
      <c r="G27" s="25"/>
      <c r="H27" s="12">
        <f t="shared" si="0"/>
        <v>1</v>
      </c>
      <c r="I27" s="12">
        <f t="shared" si="1"/>
        <v>2</v>
      </c>
      <c r="J27" s="12">
        <f>IF(AND($H27=1,$B27&lt;&gt;"",ISNUMBER($C27)),IF(((('Lucy Levene'!B27=$B27)*ISNUMBER('Lucy Levene'!C27)*(ABS('Lucy Levene'!C27-$C27)&lt;VisitHrs/24)+('Lucy Levene'!D27=$B27)*ISNUMBER('Lucy Levene'!E27)*(ABS('Lucy Levene'!E27-$C27)&lt;VisitHrs/24)+('Lucy Levene'!F27=$B27)*ISNUMBER('Lucy Levene'!G27)*(ABS('Lucy Levene'!G27-$C27)&lt;VisitHrs/24)+('Tom Bock'!B27=$B27)*ISNUMBER('Tom Bock'!C27)*(ABS('Tom Bock'!C27-$C27)&lt;VisitHrs/24)+('Tom Bock'!D27=$B27)*ISNUMBER('Tom Bock'!E27)*(ABS('Tom Bock'!E27-$C27)&lt;VisitHrs/24)+('Tom Bock'!F27=$B27)*ISNUMBER('Tom Bock'!G27)*(ABS('Tom Bock'!G27-$C27)&lt;VisitHrs/24)+(Jeremy!B27=$B27)*ISNUMBER(Jeremy!C27)*(ABS(Jeremy!C27-$C27)&lt;VisitHrs/24)+(Jeremy!D27=$B27)*ISNUMBER(Jeremy!E27)*(ABS(Jeremy!E27-$C27)&lt;VisitHrs/24)+(Jeremy!F27=$B27)*ISNUMBER(Jeremy!G27)*(ABS(Jeremy!G27-$C27)&lt;VisitHrs/24)+('Test Patient'!B27=$B27)*ISNUMBER('Test Patient'!C27)*(ABS('Test Patient'!C27-$C27)&lt;VisitHrs/24)+('Test Patient'!D27=$B27)*ISNUMBER('Test Patient'!E27)*(ABS('Test Patient'!E27-$C27)&lt;VisitHrs/24)+('Test Patient'!F27=$B27)*ISNUMBER('Test Patient'!G27)*(ABS('Test Patient'!G27-$C27)&lt;VisitHrs/24))-1)+('Anita Klesch'!$B27=$B27)*($C27&lt;DayEnd)*($C27+VisitHrs/24&gt;DayStart)+('Anita Klesch'!$C27=$B27)*((($C27+VisitHrs/24&gt;DayEnd)+($C27&lt;DayStart))&gt;0)+('Test Patient 2'!$B27=$B27)*($C27&lt;DayEnd)*($C27+VisitHrs/24&gt;DayStart)+('Test Patient 2'!$C27=$B27)*((($C27+VisitHrs/24&gt;DayEnd)+($C27&lt;DayStart))&gt;0)&gt;=1,1,0),0)</f>
        <v>0</v>
      </c>
      <c r="K27" s="12">
        <f>IF(AND($H27=1,$D27&lt;&gt;"",ISNUMBER($E27)),IF(((('Lucy Levene'!B27=$D27)*ISNUMBER('Lucy Levene'!C27)*(ABS('Lucy Levene'!C27-$E27)&lt;VisitHrs/24)+('Lucy Levene'!D27=$D27)*ISNUMBER('Lucy Levene'!E27)*(ABS('Lucy Levene'!E27-$E27)&lt;VisitHrs/24)+('Lucy Levene'!F27=$D27)*ISNUMBER('Lucy Levene'!G27)*(ABS('Lucy Levene'!G27-$E27)&lt;VisitHrs/24)+('Tom Bock'!B27=$D27)*ISNUMBER('Tom Bock'!C27)*(ABS('Tom Bock'!C27-$E27)&lt;VisitHrs/24)+('Tom Bock'!D27=$D27)*ISNUMBER('Tom Bock'!E27)*(ABS('Tom Bock'!E27-$E27)&lt;VisitHrs/24)+('Tom Bock'!F27=$D27)*ISNUMBER('Tom Bock'!G27)*(ABS('Tom Bock'!G27-$E27)&lt;VisitHrs/24)+(Jeremy!B27=$D27)*ISNUMBER(Jeremy!C27)*(ABS(Jeremy!C27-$E27)&lt;VisitHrs/24)+(Jeremy!D27=$D27)*ISNUMBER(Jeremy!E27)*(ABS(Jeremy!E27-$E27)&lt;VisitHrs/24)+(Jeremy!F27=$D27)*ISNUMBER(Jeremy!G27)*(ABS(Jeremy!G27-$E27)&lt;VisitHrs/24)+('Test Patient'!B27=$D27)*ISNUMBER('Test Patient'!C27)*(ABS('Test Patient'!C27-$E27)&lt;VisitHrs/24)+('Test Patient'!D27=$D27)*ISNUMBER('Test Patient'!E27)*(ABS('Test Patient'!E27-$E27)&lt;VisitHrs/24)+('Test Patient'!F27=$D27)*ISNUMBER('Test Patient'!G27)*(ABS('Test Patient'!G27-$E27)&lt;VisitHrs/24))-1)+('Anita Klesch'!$B27=$D27)*($E27&lt;DayEnd)*($E27+VisitHrs/24&gt;DayStart)+('Anita Klesch'!$C27=$D27)*((($E27+VisitHrs/24&gt;DayEnd)+($E27&lt;DayStart))&gt;0)+('Test Patient 2'!$B27=$D27)*($E27&lt;DayEnd)*($E27+VisitHrs/24&gt;DayStart)+('Test Patient 2'!$C27=$D27)*((($E27+VisitHrs/24&gt;DayEnd)+($E27&lt;DayStart))&gt;0)&gt;=1,1,0),0)</f>
        <v>0</v>
      </c>
      <c r="L27" s="12">
        <f>IF(AND($H27=1,$F27&lt;&gt;"",ISNUMBER($G27)),IF(((('Lucy Levene'!B27=$F27)*ISNUMBER('Lucy Levene'!C27)*(ABS('Lucy Levene'!C27-$G27)&lt;VisitHrs/24)+('Lucy Levene'!D27=$F27)*ISNUMBER('Lucy Levene'!E27)*(ABS('Lucy Levene'!E27-$G27)&lt;VisitHrs/24)+('Lucy Levene'!F27=$F27)*ISNUMBER('Lucy Levene'!G27)*(ABS('Lucy Levene'!G27-$G27)&lt;VisitHrs/24)+('Tom Bock'!B27=$F27)*ISNUMBER('Tom Bock'!C27)*(ABS('Tom Bock'!C27-$G27)&lt;VisitHrs/24)+('Tom Bock'!D27=$F27)*ISNUMBER('Tom Bock'!E27)*(ABS('Tom Bock'!E27-$G27)&lt;VisitHrs/24)+('Tom Bock'!F27=$F27)*ISNUMBER('Tom Bock'!G27)*(ABS('Tom Bock'!G27-$G27)&lt;VisitHrs/24)+(Jeremy!B27=$F27)*ISNUMBER(Jeremy!C27)*(ABS(Jeremy!C27-$G27)&lt;VisitHrs/24)+(Jeremy!D27=$F27)*ISNUMBER(Jeremy!E27)*(ABS(Jeremy!E27-$G27)&lt;VisitHrs/24)+(Jeremy!F27=$F27)*ISNUMBER(Jeremy!G27)*(ABS(Jeremy!G27-$G27)&lt;VisitHrs/24)+('Test Patient'!B27=$F27)*ISNUMBER('Test Patient'!C27)*(ABS('Test Patient'!C27-$G27)&lt;VisitHrs/24)+('Test Patient'!D27=$F27)*ISNUMBER('Test Patient'!E27)*(ABS('Test Patient'!E27-$G27)&lt;VisitHrs/24)+('Test Patient'!F27=$F27)*ISNUMBER('Test Patient'!G27)*(ABS('Test Patient'!G27-$G27)&lt;VisitHrs/24))-1)+('Anita Klesch'!$B27=$F27)*($G27&lt;DayEnd)*($G27+VisitHrs/24&gt;DayStart)+('Anita Klesch'!$C27=$F27)*((($G27+VisitHrs/24&gt;DayEnd)+($G27&lt;DayStart))&gt;0)+('Test Patient 2'!$B27=$F27)*($G27&lt;DayEnd)*($G27+VisitHrs/24&gt;DayStart)+('Test Patient 2'!$C27=$F27)*((($G27+VisitHrs/24&gt;DayEnd)+($G27&lt;DayStart))&gt;0)&gt;=1,1,0),0)</f>
        <v>0</v>
      </c>
      <c r="M27" s="12" t="str">
        <f t="shared" si="2"/>
        <v>Roderick</v>
      </c>
      <c r="N27" s="12" t="str">
        <f t="shared" si="3"/>
        <v>Roderick</v>
      </c>
      <c r="O27" s="12">
        <f t="shared" si="4"/>
        <v>0</v>
      </c>
    </row>
    <row r="28" spans="1:15" x14ac:dyDescent="0.2">
      <c r="A28" s="2">
        <f t="shared" si="5"/>
        <v>46234</v>
      </c>
      <c r="B28" s="19" t="s">
        <v>14</v>
      </c>
      <c r="C28" s="24"/>
      <c r="D28" s="19" t="s">
        <v>16</v>
      </c>
      <c r="E28" s="25"/>
      <c r="F28" s="19"/>
      <c r="G28" s="25"/>
      <c r="H28" s="12">
        <f t="shared" si="0"/>
        <v>1</v>
      </c>
      <c r="I28" s="12">
        <f t="shared" si="1"/>
        <v>2</v>
      </c>
      <c r="J28" s="12">
        <f>IF(AND($H28=1,$B28&lt;&gt;"",ISNUMBER($C28)),IF(((('Lucy Levene'!B28=$B28)*ISNUMBER('Lucy Levene'!C28)*(ABS('Lucy Levene'!C28-$C28)&lt;VisitHrs/24)+('Lucy Levene'!D28=$B28)*ISNUMBER('Lucy Levene'!E28)*(ABS('Lucy Levene'!E28-$C28)&lt;VisitHrs/24)+('Lucy Levene'!F28=$B28)*ISNUMBER('Lucy Levene'!G28)*(ABS('Lucy Levene'!G28-$C28)&lt;VisitHrs/24)+('Tom Bock'!B28=$B28)*ISNUMBER('Tom Bock'!C28)*(ABS('Tom Bock'!C28-$C28)&lt;VisitHrs/24)+('Tom Bock'!D28=$B28)*ISNUMBER('Tom Bock'!E28)*(ABS('Tom Bock'!E28-$C28)&lt;VisitHrs/24)+('Tom Bock'!F28=$B28)*ISNUMBER('Tom Bock'!G28)*(ABS('Tom Bock'!G28-$C28)&lt;VisitHrs/24)+(Jeremy!B28=$B28)*ISNUMBER(Jeremy!C28)*(ABS(Jeremy!C28-$C28)&lt;VisitHrs/24)+(Jeremy!D28=$B28)*ISNUMBER(Jeremy!E28)*(ABS(Jeremy!E28-$C28)&lt;VisitHrs/24)+(Jeremy!F28=$B28)*ISNUMBER(Jeremy!G28)*(ABS(Jeremy!G28-$C28)&lt;VisitHrs/24)+('Test Patient'!B28=$B28)*ISNUMBER('Test Patient'!C28)*(ABS('Test Patient'!C28-$C28)&lt;VisitHrs/24)+('Test Patient'!D28=$B28)*ISNUMBER('Test Patient'!E28)*(ABS('Test Patient'!E28-$C28)&lt;VisitHrs/24)+('Test Patient'!F28=$B28)*ISNUMBER('Test Patient'!G28)*(ABS('Test Patient'!G28-$C28)&lt;VisitHrs/24))-1)+('Anita Klesch'!$B28=$B28)*($C28&lt;DayEnd)*($C28+VisitHrs/24&gt;DayStart)+('Anita Klesch'!$C28=$B28)*((($C28+VisitHrs/24&gt;DayEnd)+($C28&lt;DayStart))&gt;0)+('Test Patient 2'!$B28=$B28)*($C28&lt;DayEnd)*($C28+VisitHrs/24&gt;DayStart)+('Test Patient 2'!$C28=$B28)*((($C28+VisitHrs/24&gt;DayEnd)+($C28&lt;DayStart))&gt;0)&gt;=1,1,0),0)</f>
        <v>0</v>
      </c>
      <c r="K28" s="12">
        <f>IF(AND($H28=1,$D28&lt;&gt;"",ISNUMBER($E28)),IF(((('Lucy Levene'!B28=$D28)*ISNUMBER('Lucy Levene'!C28)*(ABS('Lucy Levene'!C28-$E28)&lt;VisitHrs/24)+('Lucy Levene'!D28=$D28)*ISNUMBER('Lucy Levene'!E28)*(ABS('Lucy Levene'!E28-$E28)&lt;VisitHrs/24)+('Lucy Levene'!F28=$D28)*ISNUMBER('Lucy Levene'!G28)*(ABS('Lucy Levene'!G28-$E28)&lt;VisitHrs/24)+('Tom Bock'!B28=$D28)*ISNUMBER('Tom Bock'!C28)*(ABS('Tom Bock'!C28-$E28)&lt;VisitHrs/24)+('Tom Bock'!D28=$D28)*ISNUMBER('Tom Bock'!E28)*(ABS('Tom Bock'!E28-$E28)&lt;VisitHrs/24)+('Tom Bock'!F28=$D28)*ISNUMBER('Tom Bock'!G28)*(ABS('Tom Bock'!G28-$E28)&lt;VisitHrs/24)+(Jeremy!B28=$D28)*ISNUMBER(Jeremy!C28)*(ABS(Jeremy!C28-$E28)&lt;VisitHrs/24)+(Jeremy!D28=$D28)*ISNUMBER(Jeremy!E28)*(ABS(Jeremy!E28-$E28)&lt;VisitHrs/24)+(Jeremy!F28=$D28)*ISNUMBER(Jeremy!G28)*(ABS(Jeremy!G28-$E28)&lt;VisitHrs/24)+('Test Patient'!B28=$D28)*ISNUMBER('Test Patient'!C28)*(ABS('Test Patient'!C28-$E28)&lt;VisitHrs/24)+('Test Patient'!D28=$D28)*ISNUMBER('Test Patient'!E28)*(ABS('Test Patient'!E28-$E28)&lt;VisitHrs/24)+('Test Patient'!F28=$D28)*ISNUMBER('Test Patient'!G28)*(ABS('Test Patient'!G28-$E28)&lt;VisitHrs/24))-1)+('Anita Klesch'!$B28=$D28)*($E28&lt;DayEnd)*($E28+VisitHrs/24&gt;DayStart)+('Anita Klesch'!$C28=$D28)*((($E28+VisitHrs/24&gt;DayEnd)+($E28&lt;DayStart))&gt;0)+('Test Patient 2'!$B28=$D28)*($E28&lt;DayEnd)*($E28+VisitHrs/24&gt;DayStart)+('Test Patient 2'!$C28=$D28)*((($E28+VisitHrs/24&gt;DayEnd)+($E28&lt;DayStart))&gt;0)&gt;=1,1,0),0)</f>
        <v>0</v>
      </c>
      <c r="L28" s="12">
        <f>IF(AND($H28=1,$F28&lt;&gt;"",ISNUMBER($G28)),IF(((('Lucy Levene'!B28=$F28)*ISNUMBER('Lucy Levene'!C28)*(ABS('Lucy Levene'!C28-$G28)&lt;VisitHrs/24)+('Lucy Levene'!D28=$F28)*ISNUMBER('Lucy Levene'!E28)*(ABS('Lucy Levene'!E28-$G28)&lt;VisitHrs/24)+('Lucy Levene'!F28=$F28)*ISNUMBER('Lucy Levene'!G28)*(ABS('Lucy Levene'!G28-$G28)&lt;VisitHrs/24)+('Tom Bock'!B28=$F28)*ISNUMBER('Tom Bock'!C28)*(ABS('Tom Bock'!C28-$G28)&lt;VisitHrs/24)+('Tom Bock'!D28=$F28)*ISNUMBER('Tom Bock'!E28)*(ABS('Tom Bock'!E28-$G28)&lt;VisitHrs/24)+('Tom Bock'!F28=$F28)*ISNUMBER('Tom Bock'!G28)*(ABS('Tom Bock'!G28-$G28)&lt;VisitHrs/24)+(Jeremy!B28=$F28)*ISNUMBER(Jeremy!C28)*(ABS(Jeremy!C28-$G28)&lt;VisitHrs/24)+(Jeremy!D28=$F28)*ISNUMBER(Jeremy!E28)*(ABS(Jeremy!E28-$G28)&lt;VisitHrs/24)+(Jeremy!F28=$F28)*ISNUMBER(Jeremy!G28)*(ABS(Jeremy!G28-$G28)&lt;VisitHrs/24)+('Test Patient'!B28=$F28)*ISNUMBER('Test Patient'!C28)*(ABS('Test Patient'!C28-$G28)&lt;VisitHrs/24)+('Test Patient'!D28=$F28)*ISNUMBER('Test Patient'!E28)*(ABS('Test Patient'!E28-$G28)&lt;VisitHrs/24)+('Test Patient'!F28=$F28)*ISNUMBER('Test Patient'!G28)*(ABS('Test Patient'!G28-$G28)&lt;VisitHrs/24))-1)+('Anita Klesch'!$B28=$F28)*($G28&lt;DayEnd)*($G28+VisitHrs/24&gt;DayStart)+('Anita Klesch'!$C28=$F28)*((($G28+VisitHrs/24&gt;DayEnd)+($G28&lt;DayStart))&gt;0)+('Test Patient 2'!$B28=$F28)*($G28&lt;DayEnd)*($G28+VisitHrs/24&gt;DayStart)+('Test Patient 2'!$C28=$F28)*((($G28+VisitHrs/24&gt;DayEnd)+($G28&lt;DayStart))&gt;0)&gt;=1,1,0),0)</f>
        <v>0</v>
      </c>
      <c r="M28" s="12" t="str">
        <f t="shared" si="2"/>
        <v>Roderick</v>
      </c>
      <c r="N28" s="12" t="str">
        <f t="shared" si="3"/>
        <v>Rochelle</v>
      </c>
      <c r="O28" s="12">
        <f t="shared" si="4"/>
        <v>0</v>
      </c>
    </row>
    <row r="29" spans="1:15" x14ac:dyDescent="0.2">
      <c r="A29" s="2">
        <f t="shared" si="5"/>
        <v>46235</v>
      </c>
      <c r="B29" s="19" t="s">
        <v>16</v>
      </c>
      <c r="C29" s="24"/>
      <c r="D29" s="19" t="s">
        <v>14</v>
      </c>
      <c r="E29" s="25"/>
      <c r="F29" s="19"/>
      <c r="G29" s="25"/>
      <c r="H29" s="12">
        <f t="shared" si="0"/>
        <v>1</v>
      </c>
      <c r="I29" s="12">
        <f t="shared" si="1"/>
        <v>2</v>
      </c>
      <c r="J29" s="12">
        <f>IF(AND($H29=1,$B29&lt;&gt;"",ISNUMBER($C29)),IF(((('Lucy Levene'!B29=$B29)*ISNUMBER('Lucy Levene'!C29)*(ABS('Lucy Levene'!C29-$C29)&lt;VisitHrs/24)+('Lucy Levene'!D29=$B29)*ISNUMBER('Lucy Levene'!E29)*(ABS('Lucy Levene'!E29-$C29)&lt;VisitHrs/24)+('Lucy Levene'!F29=$B29)*ISNUMBER('Lucy Levene'!G29)*(ABS('Lucy Levene'!G29-$C29)&lt;VisitHrs/24)+('Tom Bock'!B29=$B29)*ISNUMBER('Tom Bock'!C29)*(ABS('Tom Bock'!C29-$C29)&lt;VisitHrs/24)+('Tom Bock'!D29=$B29)*ISNUMBER('Tom Bock'!E29)*(ABS('Tom Bock'!E29-$C29)&lt;VisitHrs/24)+('Tom Bock'!F29=$B29)*ISNUMBER('Tom Bock'!G29)*(ABS('Tom Bock'!G29-$C29)&lt;VisitHrs/24)+(Jeremy!B29=$B29)*ISNUMBER(Jeremy!C29)*(ABS(Jeremy!C29-$C29)&lt;VisitHrs/24)+(Jeremy!D29=$B29)*ISNUMBER(Jeremy!E29)*(ABS(Jeremy!E29-$C29)&lt;VisitHrs/24)+(Jeremy!F29=$B29)*ISNUMBER(Jeremy!G29)*(ABS(Jeremy!G29-$C29)&lt;VisitHrs/24)+('Test Patient'!B29=$B29)*ISNUMBER('Test Patient'!C29)*(ABS('Test Patient'!C29-$C29)&lt;VisitHrs/24)+('Test Patient'!D29=$B29)*ISNUMBER('Test Patient'!E29)*(ABS('Test Patient'!E29-$C29)&lt;VisitHrs/24)+('Test Patient'!F29=$B29)*ISNUMBER('Test Patient'!G29)*(ABS('Test Patient'!G29-$C29)&lt;VisitHrs/24))-1)+('Anita Klesch'!$B29=$B29)*($C29&lt;DayEnd)*($C29+VisitHrs/24&gt;DayStart)+('Anita Klesch'!$C29=$B29)*((($C29+VisitHrs/24&gt;DayEnd)+($C29&lt;DayStart))&gt;0)+('Test Patient 2'!$B29=$B29)*($C29&lt;DayEnd)*($C29+VisitHrs/24&gt;DayStart)+('Test Patient 2'!$C29=$B29)*((($C29+VisitHrs/24&gt;DayEnd)+($C29&lt;DayStart))&gt;0)&gt;=1,1,0),0)</f>
        <v>0</v>
      </c>
      <c r="K29" s="12">
        <f>IF(AND($H29=1,$D29&lt;&gt;"",ISNUMBER($E29)),IF(((('Lucy Levene'!B29=$D29)*ISNUMBER('Lucy Levene'!C29)*(ABS('Lucy Levene'!C29-$E29)&lt;VisitHrs/24)+('Lucy Levene'!D29=$D29)*ISNUMBER('Lucy Levene'!E29)*(ABS('Lucy Levene'!E29-$E29)&lt;VisitHrs/24)+('Lucy Levene'!F29=$D29)*ISNUMBER('Lucy Levene'!G29)*(ABS('Lucy Levene'!G29-$E29)&lt;VisitHrs/24)+('Tom Bock'!B29=$D29)*ISNUMBER('Tom Bock'!C29)*(ABS('Tom Bock'!C29-$E29)&lt;VisitHrs/24)+('Tom Bock'!D29=$D29)*ISNUMBER('Tom Bock'!E29)*(ABS('Tom Bock'!E29-$E29)&lt;VisitHrs/24)+('Tom Bock'!F29=$D29)*ISNUMBER('Tom Bock'!G29)*(ABS('Tom Bock'!G29-$E29)&lt;VisitHrs/24)+(Jeremy!B29=$D29)*ISNUMBER(Jeremy!C29)*(ABS(Jeremy!C29-$E29)&lt;VisitHrs/24)+(Jeremy!D29=$D29)*ISNUMBER(Jeremy!E29)*(ABS(Jeremy!E29-$E29)&lt;VisitHrs/24)+(Jeremy!F29=$D29)*ISNUMBER(Jeremy!G29)*(ABS(Jeremy!G29-$E29)&lt;VisitHrs/24)+('Test Patient'!B29=$D29)*ISNUMBER('Test Patient'!C29)*(ABS('Test Patient'!C29-$E29)&lt;VisitHrs/24)+('Test Patient'!D29=$D29)*ISNUMBER('Test Patient'!E29)*(ABS('Test Patient'!E29-$E29)&lt;VisitHrs/24)+('Test Patient'!F29=$D29)*ISNUMBER('Test Patient'!G29)*(ABS('Test Patient'!G29-$E29)&lt;VisitHrs/24))-1)+('Anita Klesch'!$B29=$D29)*($E29&lt;DayEnd)*($E29+VisitHrs/24&gt;DayStart)+('Anita Klesch'!$C29=$D29)*((($E29+VisitHrs/24&gt;DayEnd)+($E29&lt;DayStart))&gt;0)+('Test Patient 2'!$B29=$D29)*($E29&lt;DayEnd)*($E29+VisitHrs/24&gt;DayStart)+('Test Patient 2'!$C29=$D29)*((($E29+VisitHrs/24&gt;DayEnd)+($E29&lt;DayStart))&gt;0)&gt;=1,1,0),0)</f>
        <v>0</v>
      </c>
      <c r="L29" s="12">
        <f>IF(AND($H29=1,$F29&lt;&gt;"",ISNUMBER($G29)),IF(((('Lucy Levene'!B29=$F29)*ISNUMBER('Lucy Levene'!C29)*(ABS('Lucy Levene'!C29-$G29)&lt;VisitHrs/24)+('Lucy Levene'!D29=$F29)*ISNUMBER('Lucy Levene'!E29)*(ABS('Lucy Levene'!E29-$G29)&lt;VisitHrs/24)+('Lucy Levene'!F29=$F29)*ISNUMBER('Lucy Levene'!G29)*(ABS('Lucy Levene'!G29-$G29)&lt;VisitHrs/24)+('Tom Bock'!B29=$F29)*ISNUMBER('Tom Bock'!C29)*(ABS('Tom Bock'!C29-$G29)&lt;VisitHrs/24)+('Tom Bock'!D29=$F29)*ISNUMBER('Tom Bock'!E29)*(ABS('Tom Bock'!E29-$G29)&lt;VisitHrs/24)+('Tom Bock'!F29=$F29)*ISNUMBER('Tom Bock'!G29)*(ABS('Tom Bock'!G29-$G29)&lt;VisitHrs/24)+(Jeremy!B29=$F29)*ISNUMBER(Jeremy!C29)*(ABS(Jeremy!C29-$G29)&lt;VisitHrs/24)+(Jeremy!D29=$F29)*ISNUMBER(Jeremy!E29)*(ABS(Jeremy!E29-$G29)&lt;VisitHrs/24)+(Jeremy!F29=$F29)*ISNUMBER(Jeremy!G29)*(ABS(Jeremy!G29-$G29)&lt;VisitHrs/24)+('Test Patient'!B29=$F29)*ISNUMBER('Test Patient'!C29)*(ABS('Test Patient'!C29-$G29)&lt;VisitHrs/24)+('Test Patient'!D29=$F29)*ISNUMBER('Test Patient'!E29)*(ABS('Test Patient'!E29-$G29)&lt;VisitHrs/24)+('Test Patient'!F29=$F29)*ISNUMBER('Test Patient'!G29)*(ABS('Test Patient'!G29-$G29)&lt;VisitHrs/24))-1)+('Anita Klesch'!$B29=$F29)*($G29&lt;DayEnd)*($G29+VisitHrs/24&gt;DayStart)+('Anita Klesch'!$C29=$F29)*((($G29+VisitHrs/24&gt;DayEnd)+($G29&lt;DayStart))&gt;0)+('Test Patient 2'!$B29=$F29)*($G29&lt;DayEnd)*($G29+VisitHrs/24&gt;DayStart)+('Test Patient 2'!$C29=$F29)*((($G29+VisitHrs/24&gt;DayEnd)+($G29&lt;DayStart))&gt;0)&gt;=1,1,0),0)</f>
        <v>0</v>
      </c>
      <c r="M29" s="12" t="str">
        <f t="shared" si="2"/>
        <v>Rochelle</v>
      </c>
      <c r="N29" s="12" t="str">
        <f t="shared" si="3"/>
        <v>Roderick</v>
      </c>
      <c r="O29" s="12">
        <f t="shared" si="4"/>
        <v>0</v>
      </c>
    </row>
    <row r="30" spans="1:15" x14ac:dyDescent="0.2">
      <c r="A30" s="2">
        <f t="shared" si="5"/>
        <v>46236</v>
      </c>
      <c r="B30" s="3"/>
      <c r="C30" s="24"/>
      <c r="D30" s="19"/>
      <c r="E30" s="25"/>
      <c r="F30" s="19"/>
      <c r="G30" s="25"/>
      <c r="H30" s="12">
        <f t="shared" si="0"/>
        <v>1</v>
      </c>
      <c r="I30" s="12">
        <f t="shared" si="1"/>
        <v>0</v>
      </c>
      <c r="J30" s="12">
        <f>IF(AND($H30=1,$B30&lt;&gt;"",ISNUMBER($C30)),IF(((('Lucy Levene'!B30=$B30)*ISNUMBER('Lucy Levene'!C30)*(ABS('Lucy Levene'!C30-$C30)&lt;VisitHrs/24)+('Lucy Levene'!D30=$B30)*ISNUMBER('Lucy Levene'!E30)*(ABS('Lucy Levene'!E30-$C30)&lt;VisitHrs/24)+('Lucy Levene'!F30=$B30)*ISNUMBER('Lucy Levene'!G30)*(ABS('Lucy Levene'!G30-$C30)&lt;VisitHrs/24)+('Tom Bock'!B30=$B30)*ISNUMBER('Tom Bock'!C30)*(ABS('Tom Bock'!C30-$C30)&lt;VisitHrs/24)+('Tom Bock'!D30=$B30)*ISNUMBER('Tom Bock'!E30)*(ABS('Tom Bock'!E30-$C30)&lt;VisitHrs/24)+('Tom Bock'!F30=$B30)*ISNUMBER('Tom Bock'!G30)*(ABS('Tom Bock'!G30-$C30)&lt;VisitHrs/24)+(Jeremy!B30=$B30)*ISNUMBER(Jeremy!C30)*(ABS(Jeremy!C30-$C30)&lt;VisitHrs/24)+(Jeremy!D30=$B30)*ISNUMBER(Jeremy!E30)*(ABS(Jeremy!E30-$C30)&lt;VisitHrs/24)+(Jeremy!F30=$B30)*ISNUMBER(Jeremy!G30)*(ABS(Jeremy!G30-$C30)&lt;VisitHrs/24)+('Test Patient'!B30=$B30)*ISNUMBER('Test Patient'!C30)*(ABS('Test Patient'!C30-$C30)&lt;VisitHrs/24)+('Test Patient'!D30=$B30)*ISNUMBER('Test Patient'!E30)*(ABS('Test Patient'!E30-$C30)&lt;VisitHrs/24)+('Test Patient'!F30=$B30)*ISNUMBER('Test Patient'!G30)*(ABS('Test Patient'!G30-$C30)&lt;VisitHrs/24))-1)+('Anita Klesch'!$B30=$B30)*($C30&lt;DayEnd)*($C30+VisitHrs/24&gt;DayStart)+('Anita Klesch'!$C30=$B30)*((($C30+VisitHrs/24&gt;DayEnd)+($C30&lt;DayStart))&gt;0)+('Test Patient 2'!$B30=$B30)*($C30&lt;DayEnd)*($C30+VisitHrs/24&gt;DayStart)+('Test Patient 2'!$C30=$B30)*((($C30+VisitHrs/24&gt;DayEnd)+($C30&lt;DayStart))&gt;0)&gt;=1,1,0),0)</f>
        <v>0</v>
      </c>
      <c r="K30" s="12">
        <f>IF(AND($H30=1,$D30&lt;&gt;"",ISNUMBER($E30)),IF(((('Lucy Levene'!B30=$D30)*ISNUMBER('Lucy Levene'!C30)*(ABS('Lucy Levene'!C30-$E30)&lt;VisitHrs/24)+('Lucy Levene'!D30=$D30)*ISNUMBER('Lucy Levene'!E30)*(ABS('Lucy Levene'!E30-$E30)&lt;VisitHrs/24)+('Lucy Levene'!F30=$D30)*ISNUMBER('Lucy Levene'!G30)*(ABS('Lucy Levene'!G30-$E30)&lt;VisitHrs/24)+('Tom Bock'!B30=$D30)*ISNUMBER('Tom Bock'!C30)*(ABS('Tom Bock'!C30-$E30)&lt;VisitHrs/24)+('Tom Bock'!D30=$D30)*ISNUMBER('Tom Bock'!E30)*(ABS('Tom Bock'!E30-$E30)&lt;VisitHrs/24)+('Tom Bock'!F30=$D30)*ISNUMBER('Tom Bock'!G30)*(ABS('Tom Bock'!G30-$E30)&lt;VisitHrs/24)+(Jeremy!B30=$D30)*ISNUMBER(Jeremy!C30)*(ABS(Jeremy!C30-$E30)&lt;VisitHrs/24)+(Jeremy!D30=$D30)*ISNUMBER(Jeremy!E30)*(ABS(Jeremy!E30-$E30)&lt;VisitHrs/24)+(Jeremy!F30=$D30)*ISNUMBER(Jeremy!G30)*(ABS(Jeremy!G30-$E30)&lt;VisitHrs/24)+('Test Patient'!B30=$D30)*ISNUMBER('Test Patient'!C30)*(ABS('Test Patient'!C30-$E30)&lt;VisitHrs/24)+('Test Patient'!D30=$D30)*ISNUMBER('Test Patient'!E30)*(ABS('Test Patient'!E30-$E30)&lt;VisitHrs/24)+('Test Patient'!F30=$D30)*ISNUMBER('Test Patient'!G30)*(ABS('Test Patient'!G30-$E30)&lt;VisitHrs/24))-1)+('Anita Klesch'!$B30=$D30)*($E30&lt;DayEnd)*($E30+VisitHrs/24&gt;DayStart)+('Anita Klesch'!$C30=$D30)*((($E30+VisitHrs/24&gt;DayEnd)+($E30&lt;DayStart))&gt;0)+('Test Patient 2'!$B30=$D30)*($E30&lt;DayEnd)*($E30+VisitHrs/24&gt;DayStart)+('Test Patient 2'!$C30=$D30)*((($E30+VisitHrs/24&gt;DayEnd)+($E30&lt;DayStart))&gt;0)&gt;=1,1,0),0)</f>
        <v>0</v>
      </c>
      <c r="L30" s="12">
        <f>IF(AND($H30=1,$F30&lt;&gt;"",ISNUMBER($G30)),IF(((('Lucy Levene'!B30=$F30)*ISNUMBER('Lucy Levene'!C30)*(ABS('Lucy Levene'!C30-$G30)&lt;VisitHrs/24)+('Lucy Levene'!D30=$F30)*ISNUMBER('Lucy Levene'!E30)*(ABS('Lucy Levene'!E30-$G30)&lt;VisitHrs/24)+('Lucy Levene'!F30=$F30)*ISNUMBER('Lucy Levene'!G30)*(ABS('Lucy Levene'!G30-$G30)&lt;VisitHrs/24)+('Tom Bock'!B30=$F30)*ISNUMBER('Tom Bock'!C30)*(ABS('Tom Bock'!C30-$G30)&lt;VisitHrs/24)+('Tom Bock'!D30=$F30)*ISNUMBER('Tom Bock'!E30)*(ABS('Tom Bock'!E30-$G30)&lt;VisitHrs/24)+('Tom Bock'!F30=$F30)*ISNUMBER('Tom Bock'!G30)*(ABS('Tom Bock'!G30-$G30)&lt;VisitHrs/24)+(Jeremy!B30=$F30)*ISNUMBER(Jeremy!C30)*(ABS(Jeremy!C30-$G30)&lt;VisitHrs/24)+(Jeremy!D30=$F30)*ISNUMBER(Jeremy!E30)*(ABS(Jeremy!E30-$G30)&lt;VisitHrs/24)+(Jeremy!F30=$F30)*ISNUMBER(Jeremy!G30)*(ABS(Jeremy!G30-$G30)&lt;VisitHrs/24)+('Test Patient'!B30=$F30)*ISNUMBER('Test Patient'!C30)*(ABS('Test Patient'!C30-$G30)&lt;VisitHrs/24)+('Test Patient'!D30=$F30)*ISNUMBER('Test Patient'!E30)*(ABS('Test Patient'!E30-$G30)&lt;VisitHrs/24)+('Test Patient'!F30=$F30)*ISNUMBER('Test Patient'!G30)*(ABS('Test Patient'!G30-$G30)&lt;VisitHrs/24))-1)+('Anita Klesch'!$B30=$F30)*($G30&lt;DayEnd)*($G30+VisitHrs/24&gt;DayStart)+('Anita Klesch'!$C30=$F30)*((($G30+VisitHrs/24&gt;DayEnd)+($G30&lt;DayStart))&gt;0)+('Test Patient 2'!$B30=$F30)*($G30&lt;DayEnd)*($G30+VisitHrs/24&gt;DayStart)+('Test Patient 2'!$C30=$F30)*((($G30+VisitHrs/24&gt;DayEnd)+($G30&lt;DayStart))&gt;0)&gt;=1,1,0),0)</f>
        <v>0</v>
      </c>
      <c r="M30" s="12">
        <f t="shared" si="2"/>
        <v>0</v>
      </c>
      <c r="N30" s="12">
        <f t="shared" si="3"/>
        <v>0</v>
      </c>
      <c r="O30" s="12">
        <f t="shared" si="4"/>
        <v>0</v>
      </c>
    </row>
    <row r="31" spans="1:15" x14ac:dyDescent="0.2">
      <c r="A31" s="2">
        <f t="shared" si="5"/>
        <v>46237</v>
      </c>
      <c r="B31" s="3"/>
      <c r="C31" s="24"/>
      <c r="D31" s="19"/>
      <c r="E31" s="25"/>
      <c r="F31" s="19"/>
      <c r="G31" s="25"/>
      <c r="H31" s="12">
        <f t="shared" si="0"/>
        <v>1</v>
      </c>
      <c r="I31" s="12">
        <f t="shared" si="1"/>
        <v>0</v>
      </c>
      <c r="J31" s="12">
        <f>IF(AND($H31=1,$B31&lt;&gt;"",ISNUMBER($C31)),IF(((('Lucy Levene'!B31=$B31)*ISNUMBER('Lucy Levene'!C31)*(ABS('Lucy Levene'!C31-$C31)&lt;VisitHrs/24)+('Lucy Levene'!D31=$B31)*ISNUMBER('Lucy Levene'!E31)*(ABS('Lucy Levene'!E31-$C31)&lt;VisitHrs/24)+('Lucy Levene'!F31=$B31)*ISNUMBER('Lucy Levene'!G31)*(ABS('Lucy Levene'!G31-$C31)&lt;VisitHrs/24)+('Tom Bock'!B31=$B31)*ISNUMBER('Tom Bock'!C31)*(ABS('Tom Bock'!C31-$C31)&lt;VisitHrs/24)+('Tom Bock'!D31=$B31)*ISNUMBER('Tom Bock'!E31)*(ABS('Tom Bock'!E31-$C31)&lt;VisitHrs/24)+('Tom Bock'!F31=$B31)*ISNUMBER('Tom Bock'!G31)*(ABS('Tom Bock'!G31-$C31)&lt;VisitHrs/24)+(Jeremy!B31=$B31)*ISNUMBER(Jeremy!C31)*(ABS(Jeremy!C31-$C31)&lt;VisitHrs/24)+(Jeremy!D31=$B31)*ISNUMBER(Jeremy!E31)*(ABS(Jeremy!E31-$C31)&lt;VisitHrs/24)+(Jeremy!F31=$B31)*ISNUMBER(Jeremy!G31)*(ABS(Jeremy!G31-$C31)&lt;VisitHrs/24)+('Test Patient'!B31=$B31)*ISNUMBER('Test Patient'!C31)*(ABS('Test Patient'!C31-$C31)&lt;VisitHrs/24)+('Test Patient'!D31=$B31)*ISNUMBER('Test Patient'!E31)*(ABS('Test Patient'!E31-$C31)&lt;VisitHrs/24)+('Test Patient'!F31=$B31)*ISNUMBER('Test Patient'!G31)*(ABS('Test Patient'!G31-$C31)&lt;VisitHrs/24))-1)+('Anita Klesch'!$B31=$B31)*($C31&lt;DayEnd)*($C31+VisitHrs/24&gt;DayStart)+('Anita Klesch'!$C31=$B31)*((($C31+VisitHrs/24&gt;DayEnd)+($C31&lt;DayStart))&gt;0)+('Test Patient 2'!$B31=$B31)*($C31&lt;DayEnd)*($C31+VisitHrs/24&gt;DayStart)+('Test Patient 2'!$C31=$B31)*((($C31+VisitHrs/24&gt;DayEnd)+($C31&lt;DayStart))&gt;0)&gt;=1,1,0),0)</f>
        <v>0</v>
      </c>
      <c r="K31" s="12">
        <f>IF(AND($H31=1,$D31&lt;&gt;"",ISNUMBER($E31)),IF(((('Lucy Levene'!B31=$D31)*ISNUMBER('Lucy Levene'!C31)*(ABS('Lucy Levene'!C31-$E31)&lt;VisitHrs/24)+('Lucy Levene'!D31=$D31)*ISNUMBER('Lucy Levene'!E31)*(ABS('Lucy Levene'!E31-$E31)&lt;VisitHrs/24)+('Lucy Levene'!F31=$D31)*ISNUMBER('Lucy Levene'!G31)*(ABS('Lucy Levene'!G31-$E31)&lt;VisitHrs/24)+('Tom Bock'!B31=$D31)*ISNUMBER('Tom Bock'!C31)*(ABS('Tom Bock'!C31-$E31)&lt;VisitHrs/24)+('Tom Bock'!D31=$D31)*ISNUMBER('Tom Bock'!E31)*(ABS('Tom Bock'!E31-$E31)&lt;VisitHrs/24)+('Tom Bock'!F31=$D31)*ISNUMBER('Tom Bock'!G31)*(ABS('Tom Bock'!G31-$E31)&lt;VisitHrs/24)+(Jeremy!B31=$D31)*ISNUMBER(Jeremy!C31)*(ABS(Jeremy!C31-$E31)&lt;VisitHrs/24)+(Jeremy!D31=$D31)*ISNUMBER(Jeremy!E31)*(ABS(Jeremy!E31-$E31)&lt;VisitHrs/24)+(Jeremy!F31=$D31)*ISNUMBER(Jeremy!G31)*(ABS(Jeremy!G31-$E31)&lt;VisitHrs/24)+('Test Patient'!B31=$D31)*ISNUMBER('Test Patient'!C31)*(ABS('Test Patient'!C31-$E31)&lt;VisitHrs/24)+('Test Patient'!D31=$D31)*ISNUMBER('Test Patient'!E31)*(ABS('Test Patient'!E31-$E31)&lt;VisitHrs/24)+('Test Patient'!F31=$D31)*ISNUMBER('Test Patient'!G31)*(ABS('Test Patient'!G31-$E31)&lt;VisitHrs/24))-1)+('Anita Klesch'!$B31=$D31)*($E31&lt;DayEnd)*($E31+VisitHrs/24&gt;DayStart)+('Anita Klesch'!$C31=$D31)*((($E31+VisitHrs/24&gt;DayEnd)+($E31&lt;DayStart))&gt;0)+('Test Patient 2'!$B31=$D31)*($E31&lt;DayEnd)*($E31+VisitHrs/24&gt;DayStart)+('Test Patient 2'!$C31=$D31)*((($E31+VisitHrs/24&gt;DayEnd)+($E31&lt;DayStart))&gt;0)&gt;=1,1,0),0)</f>
        <v>0</v>
      </c>
      <c r="L31" s="12">
        <f>IF(AND($H31=1,$F31&lt;&gt;"",ISNUMBER($G31)),IF(((('Lucy Levene'!B31=$F31)*ISNUMBER('Lucy Levene'!C31)*(ABS('Lucy Levene'!C31-$G31)&lt;VisitHrs/24)+('Lucy Levene'!D31=$F31)*ISNUMBER('Lucy Levene'!E31)*(ABS('Lucy Levene'!E31-$G31)&lt;VisitHrs/24)+('Lucy Levene'!F31=$F31)*ISNUMBER('Lucy Levene'!G31)*(ABS('Lucy Levene'!G31-$G31)&lt;VisitHrs/24)+('Tom Bock'!B31=$F31)*ISNUMBER('Tom Bock'!C31)*(ABS('Tom Bock'!C31-$G31)&lt;VisitHrs/24)+('Tom Bock'!D31=$F31)*ISNUMBER('Tom Bock'!E31)*(ABS('Tom Bock'!E31-$G31)&lt;VisitHrs/24)+('Tom Bock'!F31=$F31)*ISNUMBER('Tom Bock'!G31)*(ABS('Tom Bock'!G31-$G31)&lt;VisitHrs/24)+(Jeremy!B31=$F31)*ISNUMBER(Jeremy!C31)*(ABS(Jeremy!C31-$G31)&lt;VisitHrs/24)+(Jeremy!D31=$F31)*ISNUMBER(Jeremy!E31)*(ABS(Jeremy!E31-$G31)&lt;VisitHrs/24)+(Jeremy!F31=$F31)*ISNUMBER(Jeremy!G31)*(ABS(Jeremy!G31-$G31)&lt;VisitHrs/24)+('Test Patient'!B31=$F31)*ISNUMBER('Test Patient'!C31)*(ABS('Test Patient'!C31-$G31)&lt;VisitHrs/24)+('Test Patient'!D31=$F31)*ISNUMBER('Test Patient'!E31)*(ABS('Test Patient'!E31-$G31)&lt;VisitHrs/24)+('Test Patient'!F31=$F31)*ISNUMBER('Test Patient'!G31)*(ABS('Test Patient'!G31-$G31)&lt;VisitHrs/24))-1)+('Anita Klesch'!$B31=$F31)*($G31&lt;DayEnd)*($G31+VisitHrs/24&gt;DayStart)+('Anita Klesch'!$C31=$F31)*((($G31+VisitHrs/24&gt;DayEnd)+($G31&lt;DayStart))&gt;0)+('Test Patient 2'!$B31=$F31)*($G31&lt;DayEnd)*($G31+VisitHrs/24&gt;DayStart)+('Test Patient 2'!$C31=$F31)*((($G31+VisitHrs/24&gt;DayEnd)+($G31&lt;DayStart))&gt;0)&gt;=1,1,0),0)</f>
        <v>0</v>
      </c>
      <c r="M31" s="12">
        <f t="shared" si="2"/>
        <v>0</v>
      </c>
      <c r="N31" s="12">
        <f t="shared" si="3"/>
        <v>0</v>
      </c>
      <c r="O31" s="12">
        <f t="shared" si="4"/>
        <v>0</v>
      </c>
    </row>
    <row r="32" spans="1:15" x14ac:dyDescent="0.2">
      <c r="A32" s="2">
        <f t="shared" si="5"/>
        <v>46238</v>
      </c>
      <c r="B32" s="3"/>
      <c r="C32" s="24"/>
      <c r="D32" s="19"/>
      <c r="E32" s="25"/>
      <c r="F32" s="19"/>
      <c r="G32" s="25"/>
      <c r="H32" s="12">
        <f t="shared" si="0"/>
        <v>1</v>
      </c>
      <c r="I32" s="12">
        <f t="shared" si="1"/>
        <v>0</v>
      </c>
      <c r="J32" s="12">
        <f>IF(AND($H32=1,$B32&lt;&gt;"",ISNUMBER($C32)),IF(((('Lucy Levene'!B32=$B32)*ISNUMBER('Lucy Levene'!C32)*(ABS('Lucy Levene'!C32-$C32)&lt;VisitHrs/24)+('Lucy Levene'!D32=$B32)*ISNUMBER('Lucy Levene'!E32)*(ABS('Lucy Levene'!E32-$C32)&lt;VisitHrs/24)+('Lucy Levene'!F32=$B32)*ISNUMBER('Lucy Levene'!G32)*(ABS('Lucy Levene'!G32-$C32)&lt;VisitHrs/24)+('Tom Bock'!B32=$B32)*ISNUMBER('Tom Bock'!C32)*(ABS('Tom Bock'!C32-$C32)&lt;VisitHrs/24)+('Tom Bock'!D32=$B32)*ISNUMBER('Tom Bock'!E32)*(ABS('Tom Bock'!E32-$C32)&lt;VisitHrs/24)+('Tom Bock'!F32=$B32)*ISNUMBER('Tom Bock'!G32)*(ABS('Tom Bock'!G32-$C32)&lt;VisitHrs/24)+(Jeremy!B32=$B32)*ISNUMBER(Jeremy!C32)*(ABS(Jeremy!C32-$C32)&lt;VisitHrs/24)+(Jeremy!D32=$B32)*ISNUMBER(Jeremy!E32)*(ABS(Jeremy!E32-$C32)&lt;VisitHrs/24)+(Jeremy!F32=$B32)*ISNUMBER(Jeremy!G32)*(ABS(Jeremy!G32-$C32)&lt;VisitHrs/24)+('Test Patient'!B32=$B32)*ISNUMBER('Test Patient'!C32)*(ABS('Test Patient'!C32-$C32)&lt;VisitHrs/24)+('Test Patient'!D32=$B32)*ISNUMBER('Test Patient'!E32)*(ABS('Test Patient'!E32-$C32)&lt;VisitHrs/24)+('Test Patient'!F32=$B32)*ISNUMBER('Test Patient'!G32)*(ABS('Test Patient'!G32-$C32)&lt;VisitHrs/24))-1)+('Anita Klesch'!$B32=$B32)*($C32&lt;DayEnd)*($C32+VisitHrs/24&gt;DayStart)+('Anita Klesch'!$C32=$B32)*((($C32+VisitHrs/24&gt;DayEnd)+($C32&lt;DayStart))&gt;0)+('Test Patient 2'!$B32=$B32)*($C32&lt;DayEnd)*($C32+VisitHrs/24&gt;DayStart)+('Test Patient 2'!$C32=$B32)*((($C32+VisitHrs/24&gt;DayEnd)+($C32&lt;DayStart))&gt;0)&gt;=1,1,0),0)</f>
        <v>0</v>
      </c>
      <c r="K32" s="12">
        <f>IF(AND($H32=1,$D32&lt;&gt;"",ISNUMBER($E32)),IF(((('Lucy Levene'!B32=$D32)*ISNUMBER('Lucy Levene'!C32)*(ABS('Lucy Levene'!C32-$E32)&lt;VisitHrs/24)+('Lucy Levene'!D32=$D32)*ISNUMBER('Lucy Levene'!E32)*(ABS('Lucy Levene'!E32-$E32)&lt;VisitHrs/24)+('Lucy Levene'!F32=$D32)*ISNUMBER('Lucy Levene'!G32)*(ABS('Lucy Levene'!G32-$E32)&lt;VisitHrs/24)+('Tom Bock'!B32=$D32)*ISNUMBER('Tom Bock'!C32)*(ABS('Tom Bock'!C32-$E32)&lt;VisitHrs/24)+('Tom Bock'!D32=$D32)*ISNUMBER('Tom Bock'!E32)*(ABS('Tom Bock'!E32-$E32)&lt;VisitHrs/24)+('Tom Bock'!F32=$D32)*ISNUMBER('Tom Bock'!G32)*(ABS('Tom Bock'!G32-$E32)&lt;VisitHrs/24)+(Jeremy!B32=$D32)*ISNUMBER(Jeremy!C32)*(ABS(Jeremy!C32-$E32)&lt;VisitHrs/24)+(Jeremy!D32=$D32)*ISNUMBER(Jeremy!E32)*(ABS(Jeremy!E32-$E32)&lt;VisitHrs/24)+(Jeremy!F32=$D32)*ISNUMBER(Jeremy!G32)*(ABS(Jeremy!G32-$E32)&lt;VisitHrs/24)+('Test Patient'!B32=$D32)*ISNUMBER('Test Patient'!C32)*(ABS('Test Patient'!C32-$E32)&lt;VisitHrs/24)+('Test Patient'!D32=$D32)*ISNUMBER('Test Patient'!E32)*(ABS('Test Patient'!E32-$E32)&lt;VisitHrs/24)+('Test Patient'!F32=$D32)*ISNUMBER('Test Patient'!G32)*(ABS('Test Patient'!G32-$E32)&lt;VisitHrs/24))-1)+('Anita Klesch'!$B32=$D32)*($E32&lt;DayEnd)*($E32+VisitHrs/24&gt;DayStart)+('Anita Klesch'!$C32=$D32)*((($E32+VisitHrs/24&gt;DayEnd)+($E32&lt;DayStart))&gt;0)+('Test Patient 2'!$B32=$D32)*($E32&lt;DayEnd)*($E32+VisitHrs/24&gt;DayStart)+('Test Patient 2'!$C32=$D32)*((($E32+VisitHrs/24&gt;DayEnd)+($E32&lt;DayStart))&gt;0)&gt;=1,1,0),0)</f>
        <v>0</v>
      </c>
      <c r="L32" s="12">
        <f>IF(AND($H32=1,$F32&lt;&gt;"",ISNUMBER($G32)),IF(((('Lucy Levene'!B32=$F32)*ISNUMBER('Lucy Levene'!C32)*(ABS('Lucy Levene'!C32-$G32)&lt;VisitHrs/24)+('Lucy Levene'!D32=$F32)*ISNUMBER('Lucy Levene'!E32)*(ABS('Lucy Levene'!E32-$G32)&lt;VisitHrs/24)+('Lucy Levene'!F32=$F32)*ISNUMBER('Lucy Levene'!G32)*(ABS('Lucy Levene'!G32-$G32)&lt;VisitHrs/24)+('Tom Bock'!B32=$F32)*ISNUMBER('Tom Bock'!C32)*(ABS('Tom Bock'!C32-$G32)&lt;VisitHrs/24)+('Tom Bock'!D32=$F32)*ISNUMBER('Tom Bock'!E32)*(ABS('Tom Bock'!E32-$G32)&lt;VisitHrs/24)+('Tom Bock'!F32=$F32)*ISNUMBER('Tom Bock'!G32)*(ABS('Tom Bock'!G32-$G32)&lt;VisitHrs/24)+(Jeremy!B32=$F32)*ISNUMBER(Jeremy!C32)*(ABS(Jeremy!C32-$G32)&lt;VisitHrs/24)+(Jeremy!D32=$F32)*ISNUMBER(Jeremy!E32)*(ABS(Jeremy!E32-$G32)&lt;VisitHrs/24)+(Jeremy!F32=$F32)*ISNUMBER(Jeremy!G32)*(ABS(Jeremy!G32-$G32)&lt;VisitHrs/24)+('Test Patient'!B32=$F32)*ISNUMBER('Test Patient'!C32)*(ABS('Test Patient'!C32-$G32)&lt;VisitHrs/24)+('Test Patient'!D32=$F32)*ISNUMBER('Test Patient'!E32)*(ABS('Test Patient'!E32-$G32)&lt;VisitHrs/24)+('Test Patient'!F32=$F32)*ISNUMBER('Test Patient'!G32)*(ABS('Test Patient'!G32-$G32)&lt;VisitHrs/24))-1)+('Anita Klesch'!$B32=$F32)*($G32&lt;DayEnd)*($G32+VisitHrs/24&gt;DayStart)+('Anita Klesch'!$C32=$F32)*((($G32+VisitHrs/24&gt;DayEnd)+($G32&lt;DayStart))&gt;0)+('Test Patient 2'!$B32=$F32)*($G32&lt;DayEnd)*($G32+VisitHrs/24&gt;DayStart)+('Test Patient 2'!$C32=$F32)*((($G32+VisitHrs/24&gt;DayEnd)+($G32&lt;DayStart))&gt;0)&gt;=1,1,0),0)</f>
        <v>0</v>
      </c>
      <c r="M32" s="12">
        <f t="shared" si="2"/>
        <v>0</v>
      </c>
      <c r="N32" s="12">
        <f t="shared" si="3"/>
        <v>0</v>
      </c>
      <c r="O32" s="12">
        <f t="shared" si="4"/>
        <v>0</v>
      </c>
    </row>
    <row r="33" spans="1:15" x14ac:dyDescent="0.2">
      <c r="A33" s="2">
        <f t="shared" si="5"/>
        <v>46239</v>
      </c>
      <c r="B33" s="3"/>
      <c r="C33" s="24"/>
      <c r="D33" s="19"/>
      <c r="E33" s="25"/>
      <c r="F33" s="19"/>
      <c r="G33" s="25"/>
      <c r="H33" s="12">
        <f t="shared" si="0"/>
        <v>1</v>
      </c>
      <c r="I33" s="12">
        <f t="shared" si="1"/>
        <v>0</v>
      </c>
      <c r="J33" s="12">
        <f>IF(AND($H33=1,$B33&lt;&gt;"",ISNUMBER($C33)),IF(((('Lucy Levene'!B33=$B33)*ISNUMBER('Lucy Levene'!C33)*(ABS('Lucy Levene'!C33-$C33)&lt;VisitHrs/24)+('Lucy Levene'!D33=$B33)*ISNUMBER('Lucy Levene'!E33)*(ABS('Lucy Levene'!E33-$C33)&lt;VisitHrs/24)+('Lucy Levene'!F33=$B33)*ISNUMBER('Lucy Levene'!G33)*(ABS('Lucy Levene'!G33-$C33)&lt;VisitHrs/24)+('Tom Bock'!B33=$B33)*ISNUMBER('Tom Bock'!C33)*(ABS('Tom Bock'!C33-$C33)&lt;VisitHrs/24)+('Tom Bock'!D33=$B33)*ISNUMBER('Tom Bock'!E33)*(ABS('Tom Bock'!E33-$C33)&lt;VisitHrs/24)+('Tom Bock'!F33=$B33)*ISNUMBER('Tom Bock'!G33)*(ABS('Tom Bock'!G33-$C33)&lt;VisitHrs/24)+(Jeremy!B33=$B33)*ISNUMBER(Jeremy!C33)*(ABS(Jeremy!C33-$C33)&lt;VisitHrs/24)+(Jeremy!D33=$B33)*ISNUMBER(Jeremy!E33)*(ABS(Jeremy!E33-$C33)&lt;VisitHrs/24)+(Jeremy!F33=$B33)*ISNUMBER(Jeremy!G33)*(ABS(Jeremy!G33-$C33)&lt;VisitHrs/24)+('Test Patient'!B33=$B33)*ISNUMBER('Test Patient'!C33)*(ABS('Test Patient'!C33-$C33)&lt;VisitHrs/24)+('Test Patient'!D33=$B33)*ISNUMBER('Test Patient'!E33)*(ABS('Test Patient'!E33-$C33)&lt;VisitHrs/24)+('Test Patient'!F33=$B33)*ISNUMBER('Test Patient'!G33)*(ABS('Test Patient'!G33-$C33)&lt;VisitHrs/24))-1)+('Anita Klesch'!$B33=$B33)*($C33&lt;DayEnd)*($C33+VisitHrs/24&gt;DayStart)+('Anita Klesch'!$C33=$B33)*((($C33+VisitHrs/24&gt;DayEnd)+($C33&lt;DayStart))&gt;0)+('Test Patient 2'!$B33=$B33)*($C33&lt;DayEnd)*($C33+VisitHrs/24&gt;DayStart)+('Test Patient 2'!$C33=$B33)*((($C33+VisitHrs/24&gt;DayEnd)+($C33&lt;DayStart))&gt;0)&gt;=1,1,0),0)</f>
        <v>0</v>
      </c>
      <c r="K33" s="12">
        <f>IF(AND($H33=1,$D33&lt;&gt;"",ISNUMBER($E33)),IF(((('Lucy Levene'!B33=$D33)*ISNUMBER('Lucy Levene'!C33)*(ABS('Lucy Levene'!C33-$E33)&lt;VisitHrs/24)+('Lucy Levene'!D33=$D33)*ISNUMBER('Lucy Levene'!E33)*(ABS('Lucy Levene'!E33-$E33)&lt;VisitHrs/24)+('Lucy Levene'!F33=$D33)*ISNUMBER('Lucy Levene'!G33)*(ABS('Lucy Levene'!G33-$E33)&lt;VisitHrs/24)+('Tom Bock'!B33=$D33)*ISNUMBER('Tom Bock'!C33)*(ABS('Tom Bock'!C33-$E33)&lt;VisitHrs/24)+('Tom Bock'!D33=$D33)*ISNUMBER('Tom Bock'!E33)*(ABS('Tom Bock'!E33-$E33)&lt;VisitHrs/24)+('Tom Bock'!F33=$D33)*ISNUMBER('Tom Bock'!G33)*(ABS('Tom Bock'!G33-$E33)&lt;VisitHrs/24)+(Jeremy!B33=$D33)*ISNUMBER(Jeremy!C33)*(ABS(Jeremy!C33-$E33)&lt;VisitHrs/24)+(Jeremy!D33=$D33)*ISNUMBER(Jeremy!E33)*(ABS(Jeremy!E33-$E33)&lt;VisitHrs/24)+(Jeremy!F33=$D33)*ISNUMBER(Jeremy!G33)*(ABS(Jeremy!G33-$E33)&lt;VisitHrs/24)+('Test Patient'!B33=$D33)*ISNUMBER('Test Patient'!C33)*(ABS('Test Patient'!C33-$E33)&lt;VisitHrs/24)+('Test Patient'!D33=$D33)*ISNUMBER('Test Patient'!E33)*(ABS('Test Patient'!E33-$E33)&lt;VisitHrs/24)+('Test Patient'!F33=$D33)*ISNUMBER('Test Patient'!G33)*(ABS('Test Patient'!G33-$E33)&lt;VisitHrs/24))-1)+('Anita Klesch'!$B33=$D33)*($E33&lt;DayEnd)*($E33+VisitHrs/24&gt;DayStart)+('Anita Klesch'!$C33=$D33)*((($E33+VisitHrs/24&gt;DayEnd)+($E33&lt;DayStart))&gt;0)+('Test Patient 2'!$B33=$D33)*($E33&lt;DayEnd)*($E33+VisitHrs/24&gt;DayStart)+('Test Patient 2'!$C33=$D33)*((($E33+VisitHrs/24&gt;DayEnd)+($E33&lt;DayStart))&gt;0)&gt;=1,1,0),0)</f>
        <v>0</v>
      </c>
      <c r="L33" s="12">
        <f>IF(AND($H33=1,$F33&lt;&gt;"",ISNUMBER($G33)),IF(((('Lucy Levene'!B33=$F33)*ISNUMBER('Lucy Levene'!C33)*(ABS('Lucy Levene'!C33-$G33)&lt;VisitHrs/24)+('Lucy Levene'!D33=$F33)*ISNUMBER('Lucy Levene'!E33)*(ABS('Lucy Levene'!E33-$G33)&lt;VisitHrs/24)+('Lucy Levene'!F33=$F33)*ISNUMBER('Lucy Levene'!G33)*(ABS('Lucy Levene'!G33-$G33)&lt;VisitHrs/24)+('Tom Bock'!B33=$F33)*ISNUMBER('Tom Bock'!C33)*(ABS('Tom Bock'!C33-$G33)&lt;VisitHrs/24)+('Tom Bock'!D33=$F33)*ISNUMBER('Tom Bock'!E33)*(ABS('Tom Bock'!E33-$G33)&lt;VisitHrs/24)+('Tom Bock'!F33=$F33)*ISNUMBER('Tom Bock'!G33)*(ABS('Tom Bock'!G33-$G33)&lt;VisitHrs/24)+(Jeremy!B33=$F33)*ISNUMBER(Jeremy!C33)*(ABS(Jeremy!C33-$G33)&lt;VisitHrs/24)+(Jeremy!D33=$F33)*ISNUMBER(Jeremy!E33)*(ABS(Jeremy!E33-$G33)&lt;VisitHrs/24)+(Jeremy!F33=$F33)*ISNUMBER(Jeremy!G33)*(ABS(Jeremy!G33-$G33)&lt;VisitHrs/24)+('Test Patient'!B33=$F33)*ISNUMBER('Test Patient'!C33)*(ABS('Test Patient'!C33-$G33)&lt;VisitHrs/24)+('Test Patient'!D33=$F33)*ISNUMBER('Test Patient'!E33)*(ABS('Test Patient'!E33-$G33)&lt;VisitHrs/24)+('Test Patient'!F33=$F33)*ISNUMBER('Test Patient'!G33)*(ABS('Test Patient'!G33-$G33)&lt;VisitHrs/24))-1)+('Anita Klesch'!$B33=$F33)*($G33&lt;DayEnd)*($G33+VisitHrs/24&gt;DayStart)+('Anita Klesch'!$C33=$F33)*((($G33+VisitHrs/24&gt;DayEnd)+($G33&lt;DayStart))&gt;0)+('Test Patient 2'!$B33=$F33)*($G33&lt;DayEnd)*($G33+VisitHrs/24&gt;DayStart)+('Test Patient 2'!$C33=$F33)*((($G33+VisitHrs/24&gt;DayEnd)+($G33&lt;DayStart))&gt;0)&gt;=1,1,0),0)</f>
        <v>0</v>
      </c>
      <c r="M33" s="12">
        <f t="shared" si="2"/>
        <v>0</v>
      </c>
      <c r="N33" s="12">
        <f t="shared" si="3"/>
        <v>0</v>
      </c>
      <c r="O33" s="12">
        <f t="shared" si="4"/>
        <v>0</v>
      </c>
    </row>
    <row r="34" spans="1:15" x14ac:dyDescent="0.2">
      <c r="A34" s="2">
        <f t="shared" si="5"/>
        <v>46240</v>
      </c>
      <c r="B34" s="3"/>
      <c r="C34" s="24"/>
      <c r="D34" s="19"/>
      <c r="E34" s="25"/>
      <c r="F34" s="19"/>
      <c r="G34" s="25"/>
      <c r="H34" s="12">
        <f t="shared" si="0"/>
        <v>1</v>
      </c>
      <c r="I34" s="12">
        <f t="shared" si="1"/>
        <v>0</v>
      </c>
      <c r="J34" s="12">
        <f>IF(AND($H34=1,$B34&lt;&gt;"",ISNUMBER($C34)),IF(((('Lucy Levene'!B34=$B34)*ISNUMBER('Lucy Levene'!C34)*(ABS('Lucy Levene'!C34-$C34)&lt;VisitHrs/24)+('Lucy Levene'!D34=$B34)*ISNUMBER('Lucy Levene'!E34)*(ABS('Lucy Levene'!E34-$C34)&lt;VisitHrs/24)+('Lucy Levene'!F34=$B34)*ISNUMBER('Lucy Levene'!G34)*(ABS('Lucy Levene'!G34-$C34)&lt;VisitHrs/24)+('Tom Bock'!B34=$B34)*ISNUMBER('Tom Bock'!C34)*(ABS('Tom Bock'!C34-$C34)&lt;VisitHrs/24)+('Tom Bock'!D34=$B34)*ISNUMBER('Tom Bock'!E34)*(ABS('Tom Bock'!E34-$C34)&lt;VisitHrs/24)+('Tom Bock'!F34=$B34)*ISNUMBER('Tom Bock'!G34)*(ABS('Tom Bock'!G34-$C34)&lt;VisitHrs/24)+(Jeremy!B34=$B34)*ISNUMBER(Jeremy!C34)*(ABS(Jeremy!C34-$C34)&lt;VisitHrs/24)+(Jeremy!D34=$B34)*ISNUMBER(Jeremy!E34)*(ABS(Jeremy!E34-$C34)&lt;VisitHrs/24)+(Jeremy!F34=$B34)*ISNUMBER(Jeremy!G34)*(ABS(Jeremy!G34-$C34)&lt;VisitHrs/24)+('Test Patient'!B34=$B34)*ISNUMBER('Test Patient'!C34)*(ABS('Test Patient'!C34-$C34)&lt;VisitHrs/24)+('Test Patient'!D34=$B34)*ISNUMBER('Test Patient'!E34)*(ABS('Test Patient'!E34-$C34)&lt;VisitHrs/24)+('Test Patient'!F34=$B34)*ISNUMBER('Test Patient'!G34)*(ABS('Test Patient'!G34-$C34)&lt;VisitHrs/24))-1)+('Anita Klesch'!$B34=$B34)*($C34&lt;DayEnd)*($C34+VisitHrs/24&gt;DayStart)+('Anita Klesch'!$C34=$B34)*((($C34+VisitHrs/24&gt;DayEnd)+($C34&lt;DayStart))&gt;0)+('Test Patient 2'!$B34=$B34)*($C34&lt;DayEnd)*($C34+VisitHrs/24&gt;DayStart)+('Test Patient 2'!$C34=$B34)*((($C34+VisitHrs/24&gt;DayEnd)+($C34&lt;DayStart))&gt;0)&gt;=1,1,0),0)</f>
        <v>0</v>
      </c>
      <c r="K34" s="12">
        <f>IF(AND($H34=1,$D34&lt;&gt;"",ISNUMBER($E34)),IF(((('Lucy Levene'!B34=$D34)*ISNUMBER('Lucy Levene'!C34)*(ABS('Lucy Levene'!C34-$E34)&lt;VisitHrs/24)+('Lucy Levene'!D34=$D34)*ISNUMBER('Lucy Levene'!E34)*(ABS('Lucy Levene'!E34-$E34)&lt;VisitHrs/24)+('Lucy Levene'!F34=$D34)*ISNUMBER('Lucy Levene'!G34)*(ABS('Lucy Levene'!G34-$E34)&lt;VisitHrs/24)+('Tom Bock'!B34=$D34)*ISNUMBER('Tom Bock'!C34)*(ABS('Tom Bock'!C34-$E34)&lt;VisitHrs/24)+('Tom Bock'!D34=$D34)*ISNUMBER('Tom Bock'!E34)*(ABS('Tom Bock'!E34-$E34)&lt;VisitHrs/24)+('Tom Bock'!F34=$D34)*ISNUMBER('Tom Bock'!G34)*(ABS('Tom Bock'!G34-$E34)&lt;VisitHrs/24)+(Jeremy!B34=$D34)*ISNUMBER(Jeremy!C34)*(ABS(Jeremy!C34-$E34)&lt;VisitHrs/24)+(Jeremy!D34=$D34)*ISNUMBER(Jeremy!E34)*(ABS(Jeremy!E34-$E34)&lt;VisitHrs/24)+(Jeremy!F34=$D34)*ISNUMBER(Jeremy!G34)*(ABS(Jeremy!G34-$E34)&lt;VisitHrs/24)+('Test Patient'!B34=$D34)*ISNUMBER('Test Patient'!C34)*(ABS('Test Patient'!C34-$E34)&lt;VisitHrs/24)+('Test Patient'!D34=$D34)*ISNUMBER('Test Patient'!E34)*(ABS('Test Patient'!E34-$E34)&lt;VisitHrs/24)+('Test Patient'!F34=$D34)*ISNUMBER('Test Patient'!G34)*(ABS('Test Patient'!G34-$E34)&lt;VisitHrs/24))-1)+('Anita Klesch'!$B34=$D34)*($E34&lt;DayEnd)*($E34+VisitHrs/24&gt;DayStart)+('Anita Klesch'!$C34=$D34)*((($E34+VisitHrs/24&gt;DayEnd)+($E34&lt;DayStart))&gt;0)+('Test Patient 2'!$B34=$D34)*($E34&lt;DayEnd)*($E34+VisitHrs/24&gt;DayStart)+('Test Patient 2'!$C34=$D34)*((($E34+VisitHrs/24&gt;DayEnd)+($E34&lt;DayStart))&gt;0)&gt;=1,1,0),0)</f>
        <v>0</v>
      </c>
      <c r="L34" s="12">
        <f>IF(AND($H34=1,$F34&lt;&gt;"",ISNUMBER($G34)),IF(((('Lucy Levene'!B34=$F34)*ISNUMBER('Lucy Levene'!C34)*(ABS('Lucy Levene'!C34-$G34)&lt;VisitHrs/24)+('Lucy Levene'!D34=$F34)*ISNUMBER('Lucy Levene'!E34)*(ABS('Lucy Levene'!E34-$G34)&lt;VisitHrs/24)+('Lucy Levene'!F34=$F34)*ISNUMBER('Lucy Levene'!G34)*(ABS('Lucy Levene'!G34-$G34)&lt;VisitHrs/24)+('Tom Bock'!B34=$F34)*ISNUMBER('Tom Bock'!C34)*(ABS('Tom Bock'!C34-$G34)&lt;VisitHrs/24)+('Tom Bock'!D34=$F34)*ISNUMBER('Tom Bock'!E34)*(ABS('Tom Bock'!E34-$G34)&lt;VisitHrs/24)+('Tom Bock'!F34=$F34)*ISNUMBER('Tom Bock'!G34)*(ABS('Tom Bock'!G34-$G34)&lt;VisitHrs/24)+(Jeremy!B34=$F34)*ISNUMBER(Jeremy!C34)*(ABS(Jeremy!C34-$G34)&lt;VisitHrs/24)+(Jeremy!D34=$F34)*ISNUMBER(Jeremy!E34)*(ABS(Jeremy!E34-$G34)&lt;VisitHrs/24)+(Jeremy!F34=$F34)*ISNUMBER(Jeremy!G34)*(ABS(Jeremy!G34-$G34)&lt;VisitHrs/24)+('Test Patient'!B34=$F34)*ISNUMBER('Test Patient'!C34)*(ABS('Test Patient'!C34-$G34)&lt;VisitHrs/24)+('Test Patient'!D34=$F34)*ISNUMBER('Test Patient'!E34)*(ABS('Test Patient'!E34-$G34)&lt;VisitHrs/24)+('Test Patient'!F34=$F34)*ISNUMBER('Test Patient'!G34)*(ABS('Test Patient'!G34-$G34)&lt;VisitHrs/24))-1)+('Anita Klesch'!$B34=$F34)*($G34&lt;DayEnd)*($G34+VisitHrs/24&gt;DayStart)+('Anita Klesch'!$C34=$F34)*((($G34+VisitHrs/24&gt;DayEnd)+($G34&lt;DayStart))&gt;0)+('Test Patient 2'!$B34=$F34)*($G34&lt;DayEnd)*($G34+VisitHrs/24&gt;DayStart)+('Test Patient 2'!$C34=$F34)*((($G34+VisitHrs/24&gt;DayEnd)+($G34&lt;DayStart))&gt;0)&gt;=1,1,0),0)</f>
        <v>0</v>
      </c>
      <c r="M34" s="12">
        <f t="shared" si="2"/>
        <v>0</v>
      </c>
      <c r="N34" s="12">
        <f t="shared" si="3"/>
        <v>0</v>
      </c>
      <c r="O34" s="12">
        <f t="shared" si="4"/>
        <v>0</v>
      </c>
    </row>
    <row r="35" spans="1:15" x14ac:dyDescent="0.2">
      <c r="A35" s="2">
        <f t="shared" si="5"/>
        <v>46241</v>
      </c>
      <c r="B35" s="3"/>
      <c r="C35" s="24"/>
      <c r="D35" s="19"/>
      <c r="E35" s="25"/>
      <c r="F35" s="19"/>
      <c r="G35" s="25"/>
      <c r="H35" s="12">
        <f t="shared" si="0"/>
        <v>1</v>
      </c>
      <c r="I35" s="12">
        <f t="shared" si="1"/>
        <v>0</v>
      </c>
      <c r="J35" s="12">
        <f>IF(AND($H35=1,$B35&lt;&gt;"",ISNUMBER($C35)),IF(((('Lucy Levene'!B35=$B35)*ISNUMBER('Lucy Levene'!C35)*(ABS('Lucy Levene'!C35-$C35)&lt;VisitHrs/24)+('Lucy Levene'!D35=$B35)*ISNUMBER('Lucy Levene'!E35)*(ABS('Lucy Levene'!E35-$C35)&lt;VisitHrs/24)+('Lucy Levene'!F35=$B35)*ISNUMBER('Lucy Levene'!G35)*(ABS('Lucy Levene'!G35-$C35)&lt;VisitHrs/24)+('Tom Bock'!B35=$B35)*ISNUMBER('Tom Bock'!C35)*(ABS('Tom Bock'!C35-$C35)&lt;VisitHrs/24)+('Tom Bock'!D35=$B35)*ISNUMBER('Tom Bock'!E35)*(ABS('Tom Bock'!E35-$C35)&lt;VisitHrs/24)+('Tom Bock'!F35=$B35)*ISNUMBER('Tom Bock'!G35)*(ABS('Tom Bock'!G35-$C35)&lt;VisitHrs/24)+(Jeremy!B35=$B35)*ISNUMBER(Jeremy!C35)*(ABS(Jeremy!C35-$C35)&lt;VisitHrs/24)+(Jeremy!D35=$B35)*ISNUMBER(Jeremy!E35)*(ABS(Jeremy!E35-$C35)&lt;VisitHrs/24)+(Jeremy!F35=$B35)*ISNUMBER(Jeremy!G35)*(ABS(Jeremy!G35-$C35)&lt;VisitHrs/24)+('Test Patient'!B35=$B35)*ISNUMBER('Test Patient'!C35)*(ABS('Test Patient'!C35-$C35)&lt;VisitHrs/24)+('Test Patient'!D35=$B35)*ISNUMBER('Test Patient'!E35)*(ABS('Test Patient'!E35-$C35)&lt;VisitHrs/24)+('Test Patient'!F35=$B35)*ISNUMBER('Test Patient'!G35)*(ABS('Test Patient'!G35-$C35)&lt;VisitHrs/24))-1)+('Anita Klesch'!$B35=$B35)*($C35&lt;DayEnd)*($C35+VisitHrs/24&gt;DayStart)+('Anita Klesch'!$C35=$B35)*((($C35+VisitHrs/24&gt;DayEnd)+($C35&lt;DayStart))&gt;0)+('Test Patient 2'!$B35=$B35)*($C35&lt;DayEnd)*($C35+VisitHrs/24&gt;DayStart)+('Test Patient 2'!$C35=$B35)*((($C35+VisitHrs/24&gt;DayEnd)+($C35&lt;DayStart))&gt;0)&gt;=1,1,0),0)</f>
        <v>0</v>
      </c>
      <c r="K35" s="12">
        <f>IF(AND($H35=1,$D35&lt;&gt;"",ISNUMBER($E35)),IF(((('Lucy Levene'!B35=$D35)*ISNUMBER('Lucy Levene'!C35)*(ABS('Lucy Levene'!C35-$E35)&lt;VisitHrs/24)+('Lucy Levene'!D35=$D35)*ISNUMBER('Lucy Levene'!E35)*(ABS('Lucy Levene'!E35-$E35)&lt;VisitHrs/24)+('Lucy Levene'!F35=$D35)*ISNUMBER('Lucy Levene'!G35)*(ABS('Lucy Levene'!G35-$E35)&lt;VisitHrs/24)+('Tom Bock'!B35=$D35)*ISNUMBER('Tom Bock'!C35)*(ABS('Tom Bock'!C35-$E35)&lt;VisitHrs/24)+('Tom Bock'!D35=$D35)*ISNUMBER('Tom Bock'!E35)*(ABS('Tom Bock'!E35-$E35)&lt;VisitHrs/24)+('Tom Bock'!F35=$D35)*ISNUMBER('Tom Bock'!G35)*(ABS('Tom Bock'!G35-$E35)&lt;VisitHrs/24)+(Jeremy!B35=$D35)*ISNUMBER(Jeremy!C35)*(ABS(Jeremy!C35-$E35)&lt;VisitHrs/24)+(Jeremy!D35=$D35)*ISNUMBER(Jeremy!E35)*(ABS(Jeremy!E35-$E35)&lt;VisitHrs/24)+(Jeremy!F35=$D35)*ISNUMBER(Jeremy!G35)*(ABS(Jeremy!G35-$E35)&lt;VisitHrs/24)+('Test Patient'!B35=$D35)*ISNUMBER('Test Patient'!C35)*(ABS('Test Patient'!C35-$E35)&lt;VisitHrs/24)+('Test Patient'!D35=$D35)*ISNUMBER('Test Patient'!E35)*(ABS('Test Patient'!E35-$E35)&lt;VisitHrs/24)+('Test Patient'!F35=$D35)*ISNUMBER('Test Patient'!G35)*(ABS('Test Patient'!G35-$E35)&lt;VisitHrs/24))-1)+('Anita Klesch'!$B35=$D35)*($E35&lt;DayEnd)*($E35+VisitHrs/24&gt;DayStart)+('Anita Klesch'!$C35=$D35)*((($E35+VisitHrs/24&gt;DayEnd)+($E35&lt;DayStart))&gt;0)+('Test Patient 2'!$B35=$D35)*($E35&lt;DayEnd)*($E35+VisitHrs/24&gt;DayStart)+('Test Patient 2'!$C35=$D35)*((($E35+VisitHrs/24&gt;DayEnd)+($E35&lt;DayStart))&gt;0)&gt;=1,1,0),0)</f>
        <v>0</v>
      </c>
      <c r="L35" s="12">
        <f>IF(AND($H35=1,$F35&lt;&gt;"",ISNUMBER($G35)),IF(((('Lucy Levene'!B35=$F35)*ISNUMBER('Lucy Levene'!C35)*(ABS('Lucy Levene'!C35-$G35)&lt;VisitHrs/24)+('Lucy Levene'!D35=$F35)*ISNUMBER('Lucy Levene'!E35)*(ABS('Lucy Levene'!E35-$G35)&lt;VisitHrs/24)+('Lucy Levene'!F35=$F35)*ISNUMBER('Lucy Levene'!G35)*(ABS('Lucy Levene'!G35-$G35)&lt;VisitHrs/24)+('Tom Bock'!B35=$F35)*ISNUMBER('Tom Bock'!C35)*(ABS('Tom Bock'!C35-$G35)&lt;VisitHrs/24)+('Tom Bock'!D35=$F35)*ISNUMBER('Tom Bock'!E35)*(ABS('Tom Bock'!E35-$G35)&lt;VisitHrs/24)+('Tom Bock'!F35=$F35)*ISNUMBER('Tom Bock'!G35)*(ABS('Tom Bock'!G35-$G35)&lt;VisitHrs/24)+(Jeremy!B35=$F35)*ISNUMBER(Jeremy!C35)*(ABS(Jeremy!C35-$G35)&lt;VisitHrs/24)+(Jeremy!D35=$F35)*ISNUMBER(Jeremy!E35)*(ABS(Jeremy!E35-$G35)&lt;VisitHrs/24)+(Jeremy!F35=$F35)*ISNUMBER(Jeremy!G35)*(ABS(Jeremy!G35-$G35)&lt;VisitHrs/24)+('Test Patient'!B35=$F35)*ISNUMBER('Test Patient'!C35)*(ABS('Test Patient'!C35-$G35)&lt;VisitHrs/24)+('Test Patient'!D35=$F35)*ISNUMBER('Test Patient'!E35)*(ABS('Test Patient'!E35-$G35)&lt;VisitHrs/24)+('Test Patient'!F35=$F35)*ISNUMBER('Test Patient'!G35)*(ABS('Test Patient'!G35-$G35)&lt;VisitHrs/24))-1)+('Anita Klesch'!$B35=$F35)*($G35&lt;DayEnd)*($G35+VisitHrs/24&gt;DayStart)+('Anita Klesch'!$C35=$F35)*((($G35+VisitHrs/24&gt;DayEnd)+($G35&lt;DayStart))&gt;0)+('Test Patient 2'!$B35=$F35)*($G35&lt;DayEnd)*($G35+VisitHrs/24&gt;DayStart)+('Test Patient 2'!$C35=$F35)*((($G35+VisitHrs/24&gt;DayEnd)+($G35&lt;DayStart))&gt;0)&gt;=1,1,0),0)</f>
        <v>0</v>
      </c>
      <c r="M35" s="12">
        <f t="shared" si="2"/>
        <v>0</v>
      </c>
      <c r="N35" s="12">
        <f t="shared" si="3"/>
        <v>0</v>
      </c>
      <c r="O35" s="12">
        <f t="shared" si="4"/>
        <v>0</v>
      </c>
    </row>
    <row r="36" spans="1:15" x14ac:dyDescent="0.2">
      <c r="A36" s="2">
        <f t="shared" si="5"/>
        <v>46242</v>
      </c>
      <c r="B36" s="3"/>
      <c r="C36" s="24"/>
      <c r="D36" s="19"/>
      <c r="E36" s="25"/>
      <c r="F36" s="19"/>
      <c r="G36" s="25"/>
      <c r="H36" s="12">
        <f t="shared" si="0"/>
        <v>1</v>
      </c>
      <c r="I36" s="12">
        <f t="shared" si="1"/>
        <v>0</v>
      </c>
      <c r="J36" s="12">
        <f>IF(AND($H36=1,$B36&lt;&gt;"",ISNUMBER($C36)),IF(((('Lucy Levene'!B36=$B36)*ISNUMBER('Lucy Levene'!C36)*(ABS('Lucy Levene'!C36-$C36)&lt;VisitHrs/24)+('Lucy Levene'!D36=$B36)*ISNUMBER('Lucy Levene'!E36)*(ABS('Lucy Levene'!E36-$C36)&lt;VisitHrs/24)+('Lucy Levene'!F36=$B36)*ISNUMBER('Lucy Levene'!G36)*(ABS('Lucy Levene'!G36-$C36)&lt;VisitHrs/24)+('Tom Bock'!B36=$B36)*ISNUMBER('Tom Bock'!C36)*(ABS('Tom Bock'!C36-$C36)&lt;VisitHrs/24)+('Tom Bock'!D36=$B36)*ISNUMBER('Tom Bock'!E36)*(ABS('Tom Bock'!E36-$C36)&lt;VisitHrs/24)+('Tom Bock'!F36=$B36)*ISNUMBER('Tom Bock'!G36)*(ABS('Tom Bock'!G36-$C36)&lt;VisitHrs/24)+(Jeremy!B36=$B36)*ISNUMBER(Jeremy!C36)*(ABS(Jeremy!C36-$C36)&lt;VisitHrs/24)+(Jeremy!D36=$B36)*ISNUMBER(Jeremy!E36)*(ABS(Jeremy!E36-$C36)&lt;VisitHrs/24)+(Jeremy!F36=$B36)*ISNUMBER(Jeremy!G36)*(ABS(Jeremy!G36-$C36)&lt;VisitHrs/24)+('Test Patient'!B36=$B36)*ISNUMBER('Test Patient'!C36)*(ABS('Test Patient'!C36-$C36)&lt;VisitHrs/24)+('Test Patient'!D36=$B36)*ISNUMBER('Test Patient'!E36)*(ABS('Test Patient'!E36-$C36)&lt;VisitHrs/24)+('Test Patient'!F36=$B36)*ISNUMBER('Test Patient'!G36)*(ABS('Test Patient'!G36-$C36)&lt;VisitHrs/24))-1)+('Anita Klesch'!$B36=$B36)*($C36&lt;DayEnd)*($C36+VisitHrs/24&gt;DayStart)+('Anita Klesch'!$C36=$B36)*((($C36+VisitHrs/24&gt;DayEnd)+($C36&lt;DayStart))&gt;0)+('Test Patient 2'!$B36=$B36)*($C36&lt;DayEnd)*($C36+VisitHrs/24&gt;DayStart)+('Test Patient 2'!$C36=$B36)*((($C36+VisitHrs/24&gt;DayEnd)+($C36&lt;DayStart))&gt;0)&gt;=1,1,0),0)</f>
        <v>0</v>
      </c>
      <c r="K36" s="12">
        <f>IF(AND($H36=1,$D36&lt;&gt;"",ISNUMBER($E36)),IF(((('Lucy Levene'!B36=$D36)*ISNUMBER('Lucy Levene'!C36)*(ABS('Lucy Levene'!C36-$E36)&lt;VisitHrs/24)+('Lucy Levene'!D36=$D36)*ISNUMBER('Lucy Levene'!E36)*(ABS('Lucy Levene'!E36-$E36)&lt;VisitHrs/24)+('Lucy Levene'!F36=$D36)*ISNUMBER('Lucy Levene'!G36)*(ABS('Lucy Levene'!G36-$E36)&lt;VisitHrs/24)+('Tom Bock'!B36=$D36)*ISNUMBER('Tom Bock'!C36)*(ABS('Tom Bock'!C36-$E36)&lt;VisitHrs/24)+('Tom Bock'!D36=$D36)*ISNUMBER('Tom Bock'!E36)*(ABS('Tom Bock'!E36-$E36)&lt;VisitHrs/24)+('Tom Bock'!F36=$D36)*ISNUMBER('Tom Bock'!G36)*(ABS('Tom Bock'!G36-$E36)&lt;VisitHrs/24)+(Jeremy!B36=$D36)*ISNUMBER(Jeremy!C36)*(ABS(Jeremy!C36-$E36)&lt;VisitHrs/24)+(Jeremy!D36=$D36)*ISNUMBER(Jeremy!E36)*(ABS(Jeremy!E36-$E36)&lt;VisitHrs/24)+(Jeremy!F36=$D36)*ISNUMBER(Jeremy!G36)*(ABS(Jeremy!G36-$E36)&lt;VisitHrs/24)+('Test Patient'!B36=$D36)*ISNUMBER('Test Patient'!C36)*(ABS('Test Patient'!C36-$E36)&lt;VisitHrs/24)+('Test Patient'!D36=$D36)*ISNUMBER('Test Patient'!E36)*(ABS('Test Patient'!E36-$E36)&lt;VisitHrs/24)+('Test Patient'!F36=$D36)*ISNUMBER('Test Patient'!G36)*(ABS('Test Patient'!G36-$E36)&lt;VisitHrs/24))-1)+('Anita Klesch'!$B36=$D36)*($E36&lt;DayEnd)*($E36+VisitHrs/24&gt;DayStart)+('Anita Klesch'!$C36=$D36)*((($E36+VisitHrs/24&gt;DayEnd)+($E36&lt;DayStart))&gt;0)+('Test Patient 2'!$B36=$D36)*($E36&lt;DayEnd)*($E36+VisitHrs/24&gt;DayStart)+('Test Patient 2'!$C36=$D36)*((($E36+VisitHrs/24&gt;DayEnd)+($E36&lt;DayStart))&gt;0)&gt;=1,1,0),0)</f>
        <v>0</v>
      </c>
      <c r="L36" s="12">
        <f>IF(AND($H36=1,$F36&lt;&gt;"",ISNUMBER($G36)),IF(((('Lucy Levene'!B36=$F36)*ISNUMBER('Lucy Levene'!C36)*(ABS('Lucy Levene'!C36-$G36)&lt;VisitHrs/24)+('Lucy Levene'!D36=$F36)*ISNUMBER('Lucy Levene'!E36)*(ABS('Lucy Levene'!E36-$G36)&lt;VisitHrs/24)+('Lucy Levene'!F36=$F36)*ISNUMBER('Lucy Levene'!G36)*(ABS('Lucy Levene'!G36-$G36)&lt;VisitHrs/24)+('Tom Bock'!B36=$F36)*ISNUMBER('Tom Bock'!C36)*(ABS('Tom Bock'!C36-$G36)&lt;VisitHrs/24)+('Tom Bock'!D36=$F36)*ISNUMBER('Tom Bock'!E36)*(ABS('Tom Bock'!E36-$G36)&lt;VisitHrs/24)+('Tom Bock'!F36=$F36)*ISNUMBER('Tom Bock'!G36)*(ABS('Tom Bock'!G36-$G36)&lt;VisitHrs/24)+(Jeremy!B36=$F36)*ISNUMBER(Jeremy!C36)*(ABS(Jeremy!C36-$G36)&lt;VisitHrs/24)+(Jeremy!D36=$F36)*ISNUMBER(Jeremy!E36)*(ABS(Jeremy!E36-$G36)&lt;VisitHrs/24)+(Jeremy!F36=$F36)*ISNUMBER(Jeremy!G36)*(ABS(Jeremy!G36-$G36)&lt;VisitHrs/24)+('Test Patient'!B36=$F36)*ISNUMBER('Test Patient'!C36)*(ABS('Test Patient'!C36-$G36)&lt;VisitHrs/24)+('Test Patient'!D36=$F36)*ISNUMBER('Test Patient'!E36)*(ABS('Test Patient'!E36-$G36)&lt;VisitHrs/24)+('Test Patient'!F36=$F36)*ISNUMBER('Test Patient'!G36)*(ABS('Test Patient'!G36-$G36)&lt;VisitHrs/24))-1)+('Anita Klesch'!$B36=$F36)*($G36&lt;DayEnd)*($G36+VisitHrs/24&gt;DayStart)+('Anita Klesch'!$C36=$F36)*((($G36+VisitHrs/24&gt;DayEnd)+($G36&lt;DayStart))&gt;0)+('Test Patient 2'!$B36=$F36)*($G36&lt;DayEnd)*($G36+VisitHrs/24&gt;DayStart)+('Test Patient 2'!$C36=$F36)*((($G36+VisitHrs/24&gt;DayEnd)+($G36&lt;DayStart))&gt;0)&gt;=1,1,0),0)</f>
        <v>0</v>
      </c>
      <c r="M36" s="12">
        <f t="shared" si="2"/>
        <v>0</v>
      </c>
      <c r="N36" s="12">
        <f t="shared" si="3"/>
        <v>0</v>
      </c>
      <c r="O36" s="12">
        <f t="shared" si="4"/>
        <v>0</v>
      </c>
    </row>
    <row r="37" spans="1:15" x14ac:dyDescent="0.2">
      <c r="A37" s="2">
        <f t="shared" si="5"/>
        <v>46243</v>
      </c>
      <c r="B37" s="3"/>
      <c r="C37" s="24"/>
      <c r="D37" s="19"/>
      <c r="E37" s="25"/>
      <c r="F37" s="19"/>
      <c r="G37" s="25"/>
      <c r="H37" s="12">
        <f t="shared" si="0"/>
        <v>1</v>
      </c>
      <c r="I37" s="12">
        <f t="shared" si="1"/>
        <v>0</v>
      </c>
      <c r="J37" s="12">
        <f>IF(AND($H37=1,$B37&lt;&gt;"",ISNUMBER($C37)),IF(((('Lucy Levene'!B37=$B37)*ISNUMBER('Lucy Levene'!C37)*(ABS('Lucy Levene'!C37-$C37)&lt;VisitHrs/24)+('Lucy Levene'!D37=$B37)*ISNUMBER('Lucy Levene'!E37)*(ABS('Lucy Levene'!E37-$C37)&lt;VisitHrs/24)+('Lucy Levene'!F37=$B37)*ISNUMBER('Lucy Levene'!G37)*(ABS('Lucy Levene'!G37-$C37)&lt;VisitHrs/24)+('Tom Bock'!B37=$B37)*ISNUMBER('Tom Bock'!C37)*(ABS('Tom Bock'!C37-$C37)&lt;VisitHrs/24)+('Tom Bock'!D37=$B37)*ISNUMBER('Tom Bock'!E37)*(ABS('Tom Bock'!E37-$C37)&lt;VisitHrs/24)+('Tom Bock'!F37=$B37)*ISNUMBER('Tom Bock'!G37)*(ABS('Tom Bock'!G37-$C37)&lt;VisitHrs/24)+(Jeremy!B37=$B37)*ISNUMBER(Jeremy!C37)*(ABS(Jeremy!C37-$C37)&lt;VisitHrs/24)+(Jeremy!D37=$B37)*ISNUMBER(Jeremy!E37)*(ABS(Jeremy!E37-$C37)&lt;VisitHrs/24)+(Jeremy!F37=$B37)*ISNUMBER(Jeremy!G37)*(ABS(Jeremy!G37-$C37)&lt;VisitHrs/24)+('Test Patient'!B37=$B37)*ISNUMBER('Test Patient'!C37)*(ABS('Test Patient'!C37-$C37)&lt;VisitHrs/24)+('Test Patient'!D37=$B37)*ISNUMBER('Test Patient'!E37)*(ABS('Test Patient'!E37-$C37)&lt;VisitHrs/24)+('Test Patient'!F37=$B37)*ISNUMBER('Test Patient'!G37)*(ABS('Test Patient'!G37-$C37)&lt;VisitHrs/24))-1)+('Anita Klesch'!$B37=$B37)*($C37&lt;DayEnd)*($C37+VisitHrs/24&gt;DayStart)+('Anita Klesch'!$C37=$B37)*((($C37+VisitHrs/24&gt;DayEnd)+($C37&lt;DayStart))&gt;0)+('Test Patient 2'!$B37=$B37)*($C37&lt;DayEnd)*($C37+VisitHrs/24&gt;DayStart)+('Test Patient 2'!$C37=$B37)*((($C37+VisitHrs/24&gt;DayEnd)+($C37&lt;DayStart))&gt;0)&gt;=1,1,0),0)</f>
        <v>0</v>
      </c>
      <c r="K37" s="12">
        <f>IF(AND($H37=1,$D37&lt;&gt;"",ISNUMBER($E37)),IF(((('Lucy Levene'!B37=$D37)*ISNUMBER('Lucy Levene'!C37)*(ABS('Lucy Levene'!C37-$E37)&lt;VisitHrs/24)+('Lucy Levene'!D37=$D37)*ISNUMBER('Lucy Levene'!E37)*(ABS('Lucy Levene'!E37-$E37)&lt;VisitHrs/24)+('Lucy Levene'!F37=$D37)*ISNUMBER('Lucy Levene'!G37)*(ABS('Lucy Levene'!G37-$E37)&lt;VisitHrs/24)+('Tom Bock'!B37=$D37)*ISNUMBER('Tom Bock'!C37)*(ABS('Tom Bock'!C37-$E37)&lt;VisitHrs/24)+('Tom Bock'!D37=$D37)*ISNUMBER('Tom Bock'!E37)*(ABS('Tom Bock'!E37-$E37)&lt;VisitHrs/24)+('Tom Bock'!F37=$D37)*ISNUMBER('Tom Bock'!G37)*(ABS('Tom Bock'!G37-$E37)&lt;VisitHrs/24)+(Jeremy!B37=$D37)*ISNUMBER(Jeremy!C37)*(ABS(Jeremy!C37-$E37)&lt;VisitHrs/24)+(Jeremy!D37=$D37)*ISNUMBER(Jeremy!E37)*(ABS(Jeremy!E37-$E37)&lt;VisitHrs/24)+(Jeremy!F37=$D37)*ISNUMBER(Jeremy!G37)*(ABS(Jeremy!G37-$E37)&lt;VisitHrs/24)+('Test Patient'!B37=$D37)*ISNUMBER('Test Patient'!C37)*(ABS('Test Patient'!C37-$E37)&lt;VisitHrs/24)+('Test Patient'!D37=$D37)*ISNUMBER('Test Patient'!E37)*(ABS('Test Patient'!E37-$E37)&lt;VisitHrs/24)+('Test Patient'!F37=$D37)*ISNUMBER('Test Patient'!G37)*(ABS('Test Patient'!G37-$E37)&lt;VisitHrs/24))-1)+('Anita Klesch'!$B37=$D37)*($E37&lt;DayEnd)*($E37+VisitHrs/24&gt;DayStart)+('Anita Klesch'!$C37=$D37)*((($E37+VisitHrs/24&gt;DayEnd)+($E37&lt;DayStart))&gt;0)+('Test Patient 2'!$B37=$D37)*($E37&lt;DayEnd)*($E37+VisitHrs/24&gt;DayStart)+('Test Patient 2'!$C37=$D37)*((($E37+VisitHrs/24&gt;DayEnd)+($E37&lt;DayStart))&gt;0)&gt;=1,1,0),0)</f>
        <v>0</v>
      </c>
      <c r="L37" s="12">
        <f>IF(AND($H37=1,$F37&lt;&gt;"",ISNUMBER($G37)),IF(((('Lucy Levene'!B37=$F37)*ISNUMBER('Lucy Levene'!C37)*(ABS('Lucy Levene'!C37-$G37)&lt;VisitHrs/24)+('Lucy Levene'!D37=$F37)*ISNUMBER('Lucy Levene'!E37)*(ABS('Lucy Levene'!E37-$G37)&lt;VisitHrs/24)+('Lucy Levene'!F37=$F37)*ISNUMBER('Lucy Levene'!G37)*(ABS('Lucy Levene'!G37-$G37)&lt;VisitHrs/24)+('Tom Bock'!B37=$F37)*ISNUMBER('Tom Bock'!C37)*(ABS('Tom Bock'!C37-$G37)&lt;VisitHrs/24)+('Tom Bock'!D37=$F37)*ISNUMBER('Tom Bock'!E37)*(ABS('Tom Bock'!E37-$G37)&lt;VisitHrs/24)+('Tom Bock'!F37=$F37)*ISNUMBER('Tom Bock'!G37)*(ABS('Tom Bock'!G37-$G37)&lt;VisitHrs/24)+(Jeremy!B37=$F37)*ISNUMBER(Jeremy!C37)*(ABS(Jeremy!C37-$G37)&lt;VisitHrs/24)+(Jeremy!D37=$F37)*ISNUMBER(Jeremy!E37)*(ABS(Jeremy!E37-$G37)&lt;VisitHrs/24)+(Jeremy!F37=$F37)*ISNUMBER(Jeremy!G37)*(ABS(Jeremy!G37-$G37)&lt;VisitHrs/24)+('Test Patient'!B37=$F37)*ISNUMBER('Test Patient'!C37)*(ABS('Test Patient'!C37-$G37)&lt;VisitHrs/24)+('Test Patient'!D37=$F37)*ISNUMBER('Test Patient'!E37)*(ABS('Test Patient'!E37-$G37)&lt;VisitHrs/24)+('Test Patient'!F37=$F37)*ISNUMBER('Test Patient'!G37)*(ABS('Test Patient'!G37-$G37)&lt;VisitHrs/24))-1)+('Anita Klesch'!$B37=$F37)*($G37&lt;DayEnd)*($G37+VisitHrs/24&gt;DayStart)+('Anita Klesch'!$C37=$F37)*((($G37+VisitHrs/24&gt;DayEnd)+($G37&lt;DayStart))&gt;0)+('Test Patient 2'!$B37=$F37)*($G37&lt;DayEnd)*($G37+VisitHrs/24&gt;DayStart)+('Test Patient 2'!$C37=$F37)*((($G37+VisitHrs/24&gt;DayEnd)+($G37&lt;DayStart))&gt;0)&gt;=1,1,0),0)</f>
        <v>0</v>
      </c>
      <c r="M37" s="12">
        <f t="shared" si="2"/>
        <v>0</v>
      </c>
      <c r="N37" s="12">
        <f t="shared" si="3"/>
        <v>0</v>
      </c>
      <c r="O37" s="12">
        <f t="shared" si="4"/>
        <v>0</v>
      </c>
    </row>
    <row r="38" spans="1:15" x14ac:dyDescent="0.2">
      <c r="A38" s="2">
        <f t="shared" si="5"/>
        <v>46244</v>
      </c>
      <c r="B38" s="3"/>
      <c r="C38" s="24"/>
      <c r="D38" s="19"/>
      <c r="E38" s="25"/>
      <c r="F38" s="19"/>
      <c r="G38" s="25"/>
      <c r="H38" s="12">
        <f t="shared" si="0"/>
        <v>1</v>
      </c>
      <c r="I38" s="12">
        <f t="shared" si="1"/>
        <v>0</v>
      </c>
      <c r="J38" s="12">
        <f>IF(AND($H38=1,$B38&lt;&gt;"",ISNUMBER($C38)),IF(((('Lucy Levene'!B38=$B38)*ISNUMBER('Lucy Levene'!C38)*(ABS('Lucy Levene'!C38-$C38)&lt;VisitHrs/24)+('Lucy Levene'!D38=$B38)*ISNUMBER('Lucy Levene'!E38)*(ABS('Lucy Levene'!E38-$C38)&lt;VisitHrs/24)+('Lucy Levene'!F38=$B38)*ISNUMBER('Lucy Levene'!G38)*(ABS('Lucy Levene'!G38-$C38)&lt;VisitHrs/24)+('Tom Bock'!B38=$B38)*ISNUMBER('Tom Bock'!C38)*(ABS('Tom Bock'!C38-$C38)&lt;VisitHrs/24)+('Tom Bock'!D38=$B38)*ISNUMBER('Tom Bock'!E38)*(ABS('Tom Bock'!E38-$C38)&lt;VisitHrs/24)+('Tom Bock'!F38=$B38)*ISNUMBER('Tom Bock'!G38)*(ABS('Tom Bock'!G38-$C38)&lt;VisitHrs/24)+(Jeremy!B38=$B38)*ISNUMBER(Jeremy!C38)*(ABS(Jeremy!C38-$C38)&lt;VisitHrs/24)+(Jeremy!D38=$B38)*ISNUMBER(Jeremy!E38)*(ABS(Jeremy!E38-$C38)&lt;VisitHrs/24)+(Jeremy!F38=$B38)*ISNUMBER(Jeremy!G38)*(ABS(Jeremy!G38-$C38)&lt;VisitHrs/24)+('Test Patient'!B38=$B38)*ISNUMBER('Test Patient'!C38)*(ABS('Test Patient'!C38-$C38)&lt;VisitHrs/24)+('Test Patient'!D38=$B38)*ISNUMBER('Test Patient'!E38)*(ABS('Test Patient'!E38-$C38)&lt;VisitHrs/24)+('Test Patient'!F38=$B38)*ISNUMBER('Test Patient'!G38)*(ABS('Test Patient'!G38-$C38)&lt;VisitHrs/24))-1)+('Anita Klesch'!$B38=$B38)*($C38&lt;DayEnd)*($C38+VisitHrs/24&gt;DayStart)+('Anita Klesch'!$C38=$B38)*((($C38+VisitHrs/24&gt;DayEnd)+($C38&lt;DayStart))&gt;0)+('Test Patient 2'!$B38=$B38)*($C38&lt;DayEnd)*($C38+VisitHrs/24&gt;DayStart)+('Test Patient 2'!$C38=$B38)*((($C38+VisitHrs/24&gt;DayEnd)+($C38&lt;DayStart))&gt;0)&gt;=1,1,0),0)</f>
        <v>0</v>
      </c>
      <c r="K38" s="12">
        <f>IF(AND($H38=1,$D38&lt;&gt;"",ISNUMBER($E38)),IF(((('Lucy Levene'!B38=$D38)*ISNUMBER('Lucy Levene'!C38)*(ABS('Lucy Levene'!C38-$E38)&lt;VisitHrs/24)+('Lucy Levene'!D38=$D38)*ISNUMBER('Lucy Levene'!E38)*(ABS('Lucy Levene'!E38-$E38)&lt;VisitHrs/24)+('Lucy Levene'!F38=$D38)*ISNUMBER('Lucy Levene'!G38)*(ABS('Lucy Levene'!G38-$E38)&lt;VisitHrs/24)+('Tom Bock'!B38=$D38)*ISNUMBER('Tom Bock'!C38)*(ABS('Tom Bock'!C38-$E38)&lt;VisitHrs/24)+('Tom Bock'!D38=$D38)*ISNUMBER('Tom Bock'!E38)*(ABS('Tom Bock'!E38-$E38)&lt;VisitHrs/24)+('Tom Bock'!F38=$D38)*ISNUMBER('Tom Bock'!G38)*(ABS('Tom Bock'!G38-$E38)&lt;VisitHrs/24)+(Jeremy!B38=$D38)*ISNUMBER(Jeremy!C38)*(ABS(Jeremy!C38-$E38)&lt;VisitHrs/24)+(Jeremy!D38=$D38)*ISNUMBER(Jeremy!E38)*(ABS(Jeremy!E38-$E38)&lt;VisitHrs/24)+(Jeremy!F38=$D38)*ISNUMBER(Jeremy!G38)*(ABS(Jeremy!G38-$E38)&lt;VisitHrs/24)+('Test Patient'!B38=$D38)*ISNUMBER('Test Patient'!C38)*(ABS('Test Patient'!C38-$E38)&lt;VisitHrs/24)+('Test Patient'!D38=$D38)*ISNUMBER('Test Patient'!E38)*(ABS('Test Patient'!E38-$E38)&lt;VisitHrs/24)+('Test Patient'!F38=$D38)*ISNUMBER('Test Patient'!G38)*(ABS('Test Patient'!G38-$E38)&lt;VisitHrs/24))-1)+('Anita Klesch'!$B38=$D38)*($E38&lt;DayEnd)*($E38+VisitHrs/24&gt;DayStart)+('Anita Klesch'!$C38=$D38)*((($E38+VisitHrs/24&gt;DayEnd)+($E38&lt;DayStart))&gt;0)+('Test Patient 2'!$B38=$D38)*($E38&lt;DayEnd)*($E38+VisitHrs/24&gt;DayStart)+('Test Patient 2'!$C38=$D38)*((($E38+VisitHrs/24&gt;DayEnd)+($E38&lt;DayStart))&gt;0)&gt;=1,1,0),0)</f>
        <v>0</v>
      </c>
      <c r="L38" s="12">
        <f>IF(AND($H38=1,$F38&lt;&gt;"",ISNUMBER($G38)),IF(((('Lucy Levene'!B38=$F38)*ISNUMBER('Lucy Levene'!C38)*(ABS('Lucy Levene'!C38-$G38)&lt;VisitHrs/24)+('Lucy Levene'!D38=$F38)*ISNUMBER('Lucy Levene'!E38)*(ABS('Lucy Levene'!E38-$G38)&lt;VisitHrs/24)+('Lucy Levene'!F38=$F38)*ISNUMBER('Lucy Levene'!G38)*(ABS('Lucy Levene'!G38-$G38)&lt;VisitHrs/24)+('Tom Bock'!B38=$F38)*ISNUMBER('Tom Bock'!C38)*(ABS('Tom Bock'!C38-$G38)&lt;VisitHrs/24)+('Tom Bock'!D38=$F38)*ISNUMBER('Tom Bock'!E38)*(ABS('Tom Bock'!E38-$G38)&lt;VisitHrs/24)+('Tom Bock'!F38=$F38)*ISNUMBER('Tom Bock'!G38)*(ABS('Tom Bock'!G38-$G38)&lt;VisitHrs/24)+(Jeremy!B38=$F38)*ISNUMBER(Jeremy!C38)*(ABS(Jeremy!C38-$G38)&lt;VisitHrs/24)+(Jeremy!D38=$F38)*ISNUMBER(Jeremy!E38)*(ABS(Jeremy!E38-$G38)&lt;VisitHrs/24)+(Jeremy!F38=$F38)*ISNUMBER(Jeremy!G38)*(ABS(Jeremy!G38-$G38)&lt;VisitHrs/24)+('Test Patient'!B38=$F38)*ISNUMBER('Test Patient'!C38)*(ABS('Test Patient'!C38-$G38)&lt;VisitHrs/24)+('Test Patient'!D38=$F38)*ISNUMBER('Test Patient'!E38)*(ABS('Test Patient'!E38-$G38)&lt;VisitHrs/24)+('Test Patient'!F38=$F38)*ISNUMBER('Test Patient'!G38)*(ABS('Test Patient'!G38-$G38)&lt;VisitHrs/24))-1)+('Anita Klesch'!$B38=$F38)*($G38&lt;DayEnd)*($G38+VisitHrs/24&gt;DayStart)+('Anita Klesch'!$C38=$F38)*((($G38+VisitHrs/24&gt;DayEnd)+($G38&lt;DayStart))&gt;0)+('Test Patient 2'!$B38=$F38)*($G38&lt;DayEnd)*($G38+VisitHrs/24&gt;DayStart)+('Test Patient 2'!$C38=$F38)*((($G38+VisitHrs/24&gt;DayEnd)+($G38&lt;DayStart))&gt;0)&gt;=1,1,0),0)</f>
        <v>0</v>
      </c>
      <c r="M38" s="12">
        <f t="shared" si="2"/>
        <v>0</v>
      </c>
      <c r="N38" s="12">
        <f t="shared" si="3"/>
        <v>0</v>
      </c>
      <c r="O38" s="12">
        <f t="shared" si="4"/>
        <v>0</v>
      </c>
    </row>
    <row r="39" spans="1:15" x14ac:dyDescent="0.2">
      <c r="A39" s="2">
        <f t="shared" si="5"/>
        <v>46245</v>
      </c>
      <c r="B39" s="3"/>
      <c r="C39" s="24"/>
      <c r="D39" s="19"/>
      <c r="E39" s="25"/>
      <c r="F39" s="19"/>
      <c r="G39" s="25"/>
      <c r="H39" s="12">
        <f t="shared" si="0"/>
        <v>1</v>
      </c>
      <c r="I39" s="12">
        <f t="shared" si="1"/>
        <v>0</v>
      </c>
      <c r="J39" s="12">
        <f>IF(AND($H39=1,$B39&lt;&gt;"",ISNUMBER($C39)),IF(((('Lucy Levene'!B39=$B39)*ISNUMBER('Lucy Levene'!C39)*(ABS('Lucy Levene'!C39-$C39)&lt;VisitHrs/24)+('Lucy Levene'!D39=$B39)*ISNUMBER('Lucy Levene'!E39)*(ABS('Lucy Levene'!E39-$C39)&lt;VisitHrs/24)+('Lucy Levene'!F39=$B39)*ISNUMBER('Lucy Levene'!G39)*(ABS('Lucy Levene'!G39-$C39)&lt;VisitHrs/24)+('Tom Bock'!B39=$B39)*ISNUMBER('Tom Bock'!C39)*(ABS('Tom Bock'!C39-$C39)&lt;VisitHrs/24)+('Tom Bock'!D39=$B39)*ISNUMBER('Tom Bock'!E39)*(ABS('Tom Bock'!E39-$C39)&lt;VisitHrs/24)+('Tom Bock'!F39=$B39)*ISNUMBER('Tom Bock'!G39)*(ABS('Tom Bock'!G39-$C39)&lt;VisitHrs/24)+(Jeremy!B39=$B39)*ISNUMBER(Jeremy!C39)*(ABS(Jeremy!C39-$C39)&lt;VisitHrs/24)+(Jeremy!D39=$B39)*ISNUMBER(Jeremy!E39)*(ABS(Jeremy!E39-$C39)&lt;VisitHrs/24)+(Jeremy!F39=$B39)*ISNUMBER(Jeremy!G39)*(ABS(Jeremy!G39-$C39)&lt;VisitHrs/24)+('Test Patient'!B39=$B39)*ISNUMBER('Test Patient'!C39)*(ABS('Test Patient'!C39-$C39)&lt;VisitHrs/24)+('Test Patient'!D39=$B39)*ISNUMBER('Test Patient'!E39)*(ABS('Test Patient'!E39-$C39)&lt;VisitHrs/24)+('Test Patient'!F39=$B39)*ISNUMBER('Test Patient'!G39)*(ABS('Test Patient'!G39-$C39)&lt;VisitHrs/24))-1)+('Anita Klesch'!$B39=$B39)*($C39&lt;DayEnd)*($C39+VisitHrs/24&gt;DayStart)+('Anita Klesch'!$C39=$B39)*((($C39+VisitHrs/24&gt;DayEnd)+($C39&lt;DayStart))&gt;0)+('Test Patient 2'!$B39=$B39)*($C39&lt;DayEnd)*($C39+VisitHrs/24&gt;DayStart)+('Test Patient 2'!$C39=$B39)*((($C39+VisitHrs/24&gt;DayEnd)+($C39&lt;DayStart))&gt;0)&gt;=1,1,0),0)</f>
        <v>0</v>
      </c>
      <c r="K39" s="12">
        <f>IF(AND($H39=1,$D39&lt;&gt;"",ISNUMBER($E39)),IF(((('Lucy Levene'!B39=$D39)*ISNUMBER('Lucy Levene'!C39)*(ABS('Lucy Levene'!C39-$E39)&lt;VisitHrs/24)+('Lucy Levene'!D39=$D39)*ISNUMBER('Lucy Levene'!E39)*(ABS('Lucy Levene'!E39-$E39)&lt;VisitHrs/24)+('Lucy Levene'!F39=$D39)*ISNUMBER('Lucy Levene'!G39)*(ABS('Lucy Levene'!G39-$E39)&lt;VisitHrs/24)+('Tom Bock'!B39=$D39)*ISNUMBER('Tom Bock'!C39)*(ABS('Tom Bock'!C39-$E39)&lt;VisitHrs/24)+('Tom Bock'!D39=$D39)*ISNUMBER('Tom Bock'!E39)*(ABS('Tom Bock'!E39-$E39)&lt;VisitHrs/24)+('Tom Bock'!F39=$D39)*ISNUMBER('Tom Bock'!G39)*(ABS('Tom Bock'!G39-$E39)&lt;VisitHrs/24)+(Jeremy!B39=$D39)*ISNUMBER(Jeremy!C39)*(ABS(Jeremy!C39-$E39)&lt;VisitHrs/24)+(Jeremy!D39=$D39)*ISNUMBER(Jeremy!E39)*(ABS(Jeremy!E39-$E39)&lt;VisitHrs/24)+(Jeremy!F39=$D39)*ISNUMBER(Jeremy!G39)*(ABS(Jeremy!G39-$E39)&lt;VisitHrs/24)+('Test Patient'!B39=$D39)*ISNUMBER('Test Patient'!C39)*(ABS('Test Patient'!C39-$E39)&lt;VisitHrs/24)+('Test Patient'!D39=$D39)*ISNUMBER('Test Patient'!E39)*(ABS('Test Patient'!E39-$E39)&lt;VisitHrs/24)+('Test Patient'!F39=$D39)*ISNUMBER('Test Patient'!G39)*(ABS('Test Patient'!G39-$E39)&lt;VisitHrs/24))-1)+('Anita Klesch'!$B39=$D39)*($E39&lt;DayEnd)*($E39+VisitHrs/24&gt;DayStart)+('Anita Klesch'!$C39=$D39)*((($E39+VisitHrs/24&gt;DayEnd)+($E39&lt;DayStart))&gt;0)+('Test Patient 2'!$B39=$D39)*($E39&lt;DayEnd)*($E39+VisitHrs/24&gt;DayStart)+('Test Patient 2'!$C39=$D39)*((($E39+VisitHrs/24&gt;DayEnd)+($E39&lt;DayStart))&gt;0)&gt;=1,1,0),0)</f>
        <v>0</v>
      </c>
      <c r="L39" s="12">
        <f>IF(AND($H39=1,$F39&lt;&gt;"",ISNUMBER($G39)),IF(((('Lucy Levene'!B39=$F39)*ISNUMBER('Lucy Levene'!C39)*(ABS('Lucy Levene'!C39-$G39)&lt;VisitHrs/24)+('Lucy Levene'!D39=$F39)*ISNUMBER('Lucy Levene'!E39)*(ABS('Lucy Levene'!E39-$G39)&lt;VisitHrs/24)+('Lucy Levene'!F39=$F39)*ISNUMBER('Lucy Levene'!G39)*(ABS('Lucy Levene'!G39-$G39)&lt;VisitHrs/24)+('Tom Bock'!B39=$F39)*ISNUMBER('Tom Bock'!C39)*(ABS('Tom Bock'!C39-$G39)&lt;VisitHrs/24)+('Tom Bock'!D39=$F39)*ISNUMBER('Tom Bock'!E39)*(ABS('Tom Bock'!E39-$G39)&lt;VisitHrs/24)+('Tom Bock'!F39=$F39)*ISNUMBER('Tom Bock'!G39)*(ABS('Tom Bock'!G39-$G39)&lt;VisitHrs/24)+(Jeremy!B39=$F39)*ISNUMBER(Jeremy!C39)*(ABS(Jeremy!C39-$G39)&lt;VisitHrs/24)+(Jeremy!D39=$F39)*ISNUMBER(Jeremy!E39)*(ABS(Jeremy!E39-$G39)&lt;VisitHrs/24)+(Jeremy!F39=$F39)*ISNUMBER(Jeremy!G39)*(ABS(Jeremy!G39-$G39)&lt;VisitHrs/24)+('Test Patient'!B39=$F39)*ISNUMBER('Test Patient'!C39)*(ABS('Test Patient'!C39-$G39)&lt;VisitHrs/24)+('Test Patient'!D39=$F39)*ISNUMBER('Test Patient'!E39)*(ABS('Test Patient'!E39-$G39)&lt;VisitHrs/24)+('Test Patient'!F39=$F39)*ISNUMBER('Test Patient'!G39)*(ABS('Test Patient'!G39-$G39)&lt;VisitHrs/24))-1)+('Anita Klesch'!$B39=$F39)*($G39&lt;DayEnd)*($G39+VisitHrs/24&gt;DayStart)+('Anita Klesch'!$C39=$F39)*((($G39+VisitHrs/24&gt;DayEnd)+($G39&lt;DayStart))&gt;0)+('Test Patient 2'!$B39=$F39)*($G39&lt;DayEnd)*($G39+VisitHrs/24&gt;DayStart)+('Test Patient 2'!$C39=$F39)*((($G39+VisitHrs/24&gt;DayEnd)+($G39&lt;DayStart))&gt;0)&gt;=1,1,0),0)</f>
        <v>0</v>
      </c>
      <c r="M39" s="12">
        <f t="shared" si="2"/>
        <v>0</v>
      </c>
      <c r="N39" s="12">
        <f t="shared" si="3"/>
        <v>0</v>
      </c>
      <c r="O39" s="12">
        <f t="shared" si="4"/>
        <v>0</v>
      </c>
    </row>
    <row r="40" spans="1:15" x14ac:dyDescent="0.2">
      <c r="A40" s="2">
        <f t="shared" si="5"/>
        <v>46246</v>
      </c>
      <c r="B40" s="3"/>
      <c r="C40" s="24"/>
      <c r="D40" s="19"/>
      <c r="E40" s="25"/>
      <c r="F40" s="19"/>
      <c r="G40" s="25"/>
      <c r="H40" s="12">
        <f t="shared" si="0"/>
        <v>1</v>
      </c>
      <c r="I40" s="12">
        <f t="shared" si="1"/>
        <v>0</v>
      </c>
      <c r="J40" s="12">
        <f>IF(AND($H40=1,$B40&lt;&gt;"",ISNUMBER($C40)),IF(((('Lucy Levene'!B40=$B40)*ISNUMBER('Lucy Levene'!C40)*(ABS('Lucy Levene'!C40-$C40)&lt;VisitHrs/24)+('Lucy Levene'!D40=$B40)*ISNUMBER('Lucy Levene'!E40)*(ABS('Lucy Levene'!E40-$C40)&lt;VisitHrs/24)+('Lucy Levene'!F40=$B40)*ISNUMBER('Lucy Levene'!G40)*(ABS('Lucy Levene'!G40-$C40)&lt;VisitHrs/24)+('Tom Bock'!B40=$B40)*ISNUMBER('Tom Bock'!C40)*(ABS('Tom Bock'!C40-$C40)&lt;VisitHrs/24)+('Tom Bock'!D40=$B40)*ISNUMBER('Tom Bock'!E40)*(ABS('Tom Bock'!E40-$C40)&lt;VisitHrs/24)+('Tom Bock'!F40=$B40)*ISNUMBER('Tom Bock'!G40)*(ABS('Tom Bock'!G40-$C40)&lt;VisitHrs/24)+(Jeremy!B40=$B40)*ISNUMBER(Jeremy!C40)*(ABS(Jeremy!C40-$C40)&lt;VisitHrs/24)+(Jeremy!D40=$B40)*ISNUMBER(Jeremy!E40)*(ABS(Jeremy!E40-$C40)&lt;VisitHrs/24)+(Jeremy!F40=$B40)*ISNUMBER(Jeremy!G40)*(ABS(Jeremy!G40-$C40)&lt;VisitHrs/24)+('Test Patient'!B40=$B40)*ISNUMBER('Test Patient'!C40)*(ABS('Test Patient'!C40-$C40)&lt;VisitHrs/24)+('Test Patient'!D40=$B40)*ISNUMBER('Test Patient'!E40)*(ABS('Test Patient'!E40-$C40)&lt;VisitHrs/24)+('Test Patient'!F40=$B40)*ISNUMBER('Test Patient'!G40)*(ABS('Test Patient'!G40-$C40)&lt;VisitHrs/24))-1)+('Anita Klesch'!$B40=$B40)*($C40&lt;DayEnd)*($C40+VisitHrs/24&gt;DayStart)+('Anita Klesch'!$C40=$B40)*((($C40+VisitHrs/24&gt;DayEnd)+($C40&lt;DayStart))&gt;0)+('Test Patient 2'!$B40=$B40)*($C40&lt;DayEnd)*($C40+VisitHrs/24&gt;DayStart)+('Test Patient 2'!$C40=$B40)*((($C40+VisitHrs/24&gt;DayEnd)+($C40&lt;DayStart))&gt;0)&gt;=1,1,0),0)</f>
        <v>0</v>
      </c>
      <c r="K40" s="12">
        <f>IF(AND($H40=1,$D40&lt;&gt;"",ISNUMBER($E40)),IF(((('Lucy Levene'!B40=$D40)*ISNUMBER('Lucy Levene'!C40)*(ABS('Lucy Levene'!C40-$E40)&lt;VisitHrs/24)+('Lucy Levene'!D40=$D40)*ISNUMBER('Lucy Levene'!E40)*(ABS('Lucy Levene'!E40-$E40)&lt;VisitHrs/24)+('Lucy Levene'!F40=$D40)*ISNUMBER('Lucy Levene'!G40)*(ABS('Lucy Levene'!G40-$E40)&lt;VisitHrs/24)+('Tom Bock'!B40=$D40)*ISNUMBER('Tom Bock'!C40)*(ABS('Tom Bock'!C40-$E40)&lt;VisitHrs/24)+('Tom Bock'!D40=$D40)*ISNUMBER('Tom Bock'!E40)*(ABS('Tom Bock'!E40-$E40)&lt;VisitHrs/24)+('Tom Bock'!F40=$D40)*ISNUMBER('Tom Bock'!G40)*(ABS('Tom Bock'!G40-$E40)&lt;VisitHrs/24)+(Jeremy!B40=$D40)*ISNUMBER(Jeremy!C40)*(ABS(Jeremy!C40-$E40)&lt;VisitHrs/24)+(Jeremy!D40=$D40)*ISNUMBER(Jeremy!E40)*(ABS(Jeremy!E40-$E40)&lt;VisitHrs/24)+(Jeremy!F40=$D40)*ISNUMBER(Jeremy!G40)*(ABS(Jeremy!G40-$E40)&lt;VisitHrs/24)+('Test Patient'!B40=$D40)*ISNUMBER('Test Patient'!C40)*(ABS('Test Patient'!C40-$E40)&lt;VisitHrs/24)+('Test Patient'!D40=$D40)*ISNUMBER('Test Patient'!E40)*(ABS('Test Patient'!E40-$E40)&lt;VisitHrs/24)+('Test Patient'!F40=$D40)*ISNUMBER('Test Patient'!G40)*(ABS('Test Patient'!G40-$E40)&lt;VisitHrs/24))-1)+('Anita Klesch'!$B40=$D40)*($E40&lt;DayEnd)*($E40+VisitHrs/24&gt;DayStart)+('Anita Klesch'!$C40=$D40)*((($E40+VisitHrs/24&gt;DayEnd)+($E40&lt;DayStart))&gt;0)+('Test Patient 2'!$B40=$D40)*($E40&lt;DayEnd)*($E40+VisitHrs/24&gt;DayStart)+('Test Patient 2'!$C40=$D40)*((($E40+VisitHrs/24&gt;DayEnd)+($E40&lt;DayStart))&gt;0)&gt;=1,1,0),0)</f>
        <v>0</v>
      </c>
      <c r="L40" s="12">
        <f>IF(AND($H40=1,$F40&lt;&gt;"",ISNUMBER($G40)),IF(((('Lucy Levene'!B40=$F40)*ISNUMBER('Lucy Levene'!C40)*(ABS('Lucy Levene'!C40-$G40)&lt;VisitHrs/24)+('Lucy Levene'!D40=$F40)*ISNUMBER('Lucy Levene'!E40)*(ABS('Lucy Levene'!E40-$G40)&lt;VisitHrs/24)+('Lucy Levene'!F40=$F40)*ISNUMBER('Lucy Levene'!G40)*(ABS('Lucy Levene'!G40-$G40)&lt;VisitHrs/24)+('Tom Bock'!B40=$F40)*ISNUMBER('Tom Bock'!C40)*(ABS('Tom Bock'!C40-$G40)&lt;VisitHrs/24)+('Tom Bock'!D40=$F40)*ISNUMBER('Tom Bock'!E40)*(ABS('Tom Bock'!E40-$G40)&lt;VisitHrs/24)+('Tom Bock'!F40=$F40)*ISNUMBER('Tom Bock'!G40)*(ABS('Tom Bock'!G40-$G40)&lt;VisitHrs/24)+(Jeremy!B40=$F40)*ISNUMBER(Jeremy!C40)*(ABS(Jeremy!C40-$G40)&lt;VisitHrs/24)+(Jeremy!D40=$F40)*ISNUMBER(Jeremy!E40)*(ABS(Jeremy!E40-$G40)&lt;VisitHrs/24)+(Jeremy!F40=$F40)*ISNUMBER(Jeremy!G40)*(ABS(Jeremy!G40-$G40)&lt;VisitHrs/24)+('Test Patient'!B40=$F40)*ISNUMBER('Test Patient'!C40)*(ABS('Test Patient'!C40-$G40)&lt;VisitHrs/24)+('Test Patient'!D40=$F40)*ISNUMBER('Test Patient'!E40)*(ABS('Test Patient'!E40-$G40)&lt;VisitHrs/24)+('Test Patient'!F40=$F40)*ISNUMBER('Test Patient'!G40)*(ABS('Test Patient'!G40-$G40)&lt;VisitHrs/24))-1)+('Anita Klesch'!$B40=$F40)*($G40&lt;DayEnd)*($G40+VisitHrs/24&gt;DayStart)+('Anita Klesch'!$C40=$F40)*((($G40+VisitHrs/24&gt;DayEnd)+($G40&lt;DayStart))&gt;0)+('Test Patient 2'!$B40=$F40)*($G40&lt;DayEnd)*($G40+VisitHrs/24&gt;DayStart)+('Test Patient 2'!$C40=$F40)*((($G40+VisitHrs/24&gt;DayEnd)+($G40&lt;DayStart))&gt;0)&gt;=1,1,0),0)</f>
        <v>0</v>
      </c>
      <c r="M40" s="12">
        <f t="shared" si="2"/>
        <v>0</v>
      </c>
      <c r="N40" s="12">
        <f t="shared" si="3"/>
        <v>0</v>
      </c>
      <c r="O40" s="12">
        <f t="shared" si="4"/>
        <v>0</v>
      </c>
    </row>
    <row r="41" spans="1:15" x14ac:dyDescent="0.2">
      <c r="A41" s="2">
        <f t="shared" si="5"/>
        <v>46247</v>
      </c>
      <c r="B41" s="3"/>
      <c r="C41" s="24"/>
      <c r="D41" s="19"/>
      <c r="E41" s="25"/>
      <c r="F41" s="19"/>
      <c r="G41" s="25"/>
      <c r="H41" s="12">
        <f t="shared" si="0"/>
        <v>1</v>
      </c>
      <c r="I41" s="12">
        <f t="shared" si="1"/>
        <v>0</v>
      </c>
      <c r="J41" s="12">
        <f>IF(AND($H41=1,$B41&lt;&gt;"",ISNUMBER($C41)),IF(((('Lucy Levene'!B41=$B41)*ISNUMBER('Lucy Levene'!C41)*(ABS('Lucy Levene'!C41-$C41)&lt;VisitHrs/24)+('Lucy Levene'!D41=$B41)*ISNUMBER('Lucy Levene'!E41)*(ABS('Lucy Levene'!E41-$C41)&lt;VisitHrs/24)+('Lucy Levene'!F41=$B41)*ISNUMBER('Lucy Levene'!G41)*(ABS('Lucy Levene'!G41-$C41)&lt;VisitHrs/24)+('Tom Bock'!B41=$B41)*ISNUMBER('Tom Bock'!C41)*(ABS('Tom Bock'!C41-$C41)&lt;VisitHrs/24)+('Tom Bock'!D41=$B41)*ISNUMBER('Tom Bock'!E41)*(ABS('Tom Bock'!E41-$C41)&lt;VisitHrs/24)+('Tom Bock'!F41=$B41)*ISNUMBER('Tom Bock'!G41)*(ABS('Tom Bock'!G41-$C41)&lt;VisitHrs/24)+(Jeremy!B41=$B41)*ISNUMBER(Jeremy!C41)*(ABS(Jeremy!C41-$C41)&lt;VisitHrs/24)+(Jeremy!D41=$B41)*ISNUMBER(Jeremy!E41)*(ABS(Jeremy!E41-$C41)&lt;VisitHrs/24)+(Jeremy!F41=$B41)*ISNUMBER(Jeremy!G41)*(ABS(Jeremy!G41-$C41)&lt;VisitHrs/24)+('Test Patient'!B41=$B41)*ISNUMBER('Test Patient'!C41)*(ABS('Test Patient'!C41-$C41)&lt;VisitHrs/24)+('Test Patient'!D41=$B41)*ISNUMBER('Test Patient'!E41)*(ABS('Test Patient'!E41-$C41)&lt;VisitHrs/24)+('Test Patient'!F41=$B41)*ISNUMBER('Test Patient'!G41)*(ABS('Test Patient'!G41-$C41)&lt;VisitHrs/24))-1)+('Anita Klesch'!$B41=$B41)*($C41&lt;DayEnd)*($C41+VisitHrs/24&gt;DayStart)+('Anita Klesch'!$C41=$B41)*((($C41+VisitHrs/24&gt;DayEnd)+($C41&lt;DayStart))&gt;0)+('Test Patient 2'!$B41=$B41)*($C41&lt;DayEnd)*($C41+VisitHrs/24&gt;DayStart)+('Test Patient 2'!$C41=$B41)*((($C41+VisitHrs/24&gt;DayEnd)+($C41&lt;DayStart))&gt;0)&gt;=1,1,0),0)</f>
        <v>0</v>
      </c>
      <c r="K41" s="12">
        <f>IF(AND($H41=1,$D41&lt;&gt;"",ISNUMBER($E41)),IF(((('Lucy Levene'!B41=$D41)*ISNUMBER('Lucy Levene'!C41)*(ABS('Lucy Levene'!C41-$E41)&lt;VisitHrs/24)+('Lucy Levene'!D41=$D41)*ISNUMBER('Lucy Levene'!E41)*(ABS('Lucy Levene'!E41-$E41)&lt;VisitHrs/24)+('Lucy Levene'!F41=$D41)*ISNUMBER('Lucy Levene'!G41)*(ABS('Lucy Levene'!G41-$E41)&lt;VisitHrs/24)+('Tom Bock'!B41=$D41)*ISNUMBER('Tom Bock'!C41)*(ABS('Tom Bock'!C41-$E41)&lt;VisitHrs/24)+('Tom Bock'!D41=$D41)*ISNUMBER('Tom Bock'!E41)*(ABS('Tom Bock'!E41-$E41)&lt;VisitHrs/24)+('Tom Bock'!F41=$D41)*ISNUMBER('Tom Bock'!G41)*(ABS('Tom Bock'!G41-$E41)&lt;VisitHrs/24)+(Jeremy!B41=$D41)*ISNUMBER(Jeremy!C41)*(ABS(Jeremy!C41-$E41)&lt;VisitHrs/24)+(Jeremy!D41=$D41)*ISNUMBER(Jeremy!E41)*(ABS(Jeremy!E41-$E41)&lt;VisitHrs/24)+(Jeremy!F41=$D41)*ISNUMBER(Jeremy!G41)*(ABS(Jeremy!G41-$E41)&lt;VisitHrs/24)+('Test Patient'!B41=$D41)*ISNUMBER('Test Patient'!C41)*(ABS('Test Patient'!C41-$E41)&lt;VisitHrs/24)+('Test Patient'!D41=$D41)*ISNUMBER('Test Patient'!E41)*(ABS('Test Patient'!E41-$E41)&lt;VisitHrs/24)+('Test Patient'!F41=$D41)*ISNUMBER('Test Patient'!G41)*(ABS('Test Patient'!G41-$E41)&lt;VisitHrs/24))-1)+('Anita Klesch'!$B41=$D41)*($E41&lt;DayEnd)*($E41+VisitHrs/24&gt;DayStart)+('Anita Klesch'!$C41=$D41)*((($E41+VisitHrs/24&gt;DayEnd)+($E41&lt;DayStart))&gt;0)+('Test Patient 2'!$B41=$D41)*($E41&lt;DayEnd)*($E41+VisitHrs/24&gt;DayStart)+('Test Patient 2'!$C41=$D41)*((($E41+VisitHrs/24&gt;DayEnd)+($E41&lt;DayStart))&gt;0)&gt;=1,1,0),0)</f>
        <v>0</v>
      </c>
      <c r="L41" s="12">
        <f>IF(AND($H41=1,$F41&lt;&gt;"",ISNUMBER($G41)),IF(((('Lucy Levene'!B41=$F41)*ISNUMBER('Lucy Levene'!C41)*(ABS('Lucy Levene'!C41-$G41)&lt;VisitHrs/24)+('Lucy Levene'!D41=$F41)*ISNUMBER('Lucy Levene'!E41)*(ABS('Lucy Levene'!E41-$G41)&lt;VisitHrs/24)+('Lucy Levene'!F41=$F41)*ISNUMBER('Lucy Levene'!G41)*(ABS('Lucy Levene'!G41-$G41)&lt;VisitHrs/24)+('Tom Bock'!B41=$F41)*ISNUMBER('Tom Bock'!C41)*(ABS('Tom Bock'!C41-$G41)&lt;VisitHrs/24)+('Tom Bock'!D41=$F41)*ISNUMBER('Tom Bock'!E41)*(ABS('Tom Bock'!E41-$G41)&lt;VisitHrs/24)+('Tom Bock'!F41=$F41)*ISNUMBER('Tom Bock'!G41)*(ABS('Tom Bock'!G41-$G41)&lt;VisitHrs/24)+(Jeremy!B41=$F41)*ISNUMBER(Jeremy!C41)*(ABS(Jeremy!C41-$G41)&lt;VisitHrs/24)+(Jeremy!D41=$F41)*ISNUMBER(Jeremy!E41)*(ABS(Jeremy!E41-$G41)&lt;VisitHrs/24)+(Jeremy!F41=$F41)*ISNUMBER(Jeremy!G41)*(ABS(Jeremy!G41-$G41)&lt;VisitHrs/24)+('Test Patient'!B41=$F41)*ISNUMBER('Test Patient'!C41)*(ABS('Test Patient'!C41-$G41)&lt;VisitHrs/24)+('Test Patient'!D41=$F41)*ISNUMBER('Test Patient'!E41)*(ABS('Test Patient'!E41-$G41)&lt;VisitHrs/24)+('Test Patient'!F41=$F41)*ISNUMBER('Test Patient'!G41)*(ABS('Test Patient'!G41-$G41)&lt;VisitHrs/24))-1)+('Anita Klesch'!$B41=$F41)*($G41&lt;DayEnd)*($G41+VisitHrs/24&gt;DayStart)+('Anita Klesch'!$C41=$F41)*((($G41+VisitHrs/24&gt;DayEnd)+($G41&lt;DayStart))&gt;0)+('Test Patient 2'!$B41=$F41)*($G41&lt;DayEnd)*($G41+VisitHrs/24&gt;DayStart)+('Test Patient 2'!$C41=$F41)*((($G41+VisitHrs/24&gt;DayEnd)+($G41&lt;DayStart))&gt;0)&gt;=1,1,0),0)</f>
        <v>0</v>
      </c>
      <c r="M41" s="12">
        <f t="shared" si="2"/>
        <v>0</v>
      </c>
      <c r="N41" s="12">
        <f t="shared" si="3"/>
        <v>0</v>
      </c>
      <c r="O41" s="12">
        <f t="shared" si="4"/>
        <v>0</v>
      </c>
    </row>
    <row r="42" spans="1:15" x14ac:dyDescent="0.2">
      <c r="A42" s="2">
        <f t="shared" si="5"/>
        <v>46248</v>
      </c>
      <c r="B42" s="3"/>
      <c r="C42" s="24"/>
      <c r="D42" s="19"/>
      <c r="E42" s="25"/>
      <c r="F42" s="19"/>
      <c r="G42" s="25"/>
      <c r="H42" s="12">
        <f t="shared" si="0"/>
        <v>1</v>
      </c>
      <c r="I42" s="12">
        <f t="shared" si="1"/>
        <v>0</v>
      </c>
      <c r="J42" s="12">
        <f>IF(AND($H42=1,$B42&lt;&gt;"",ISNUMBER($C42)),IF(((('Lucy Levene'!B42=$B42)*ISNUMBER('Lucy Levene'!C42)*(ABS('Lucy Levene'!C42-$C42)&lt;VisitHrs/24)+('Lucy Levene'!D42=$B42)*ISNUMBER('Lucy Levene'!E42)*(ABS('Lucy Levene'!E42-$C42)&lt;VisitHrs/24)+('Lucy Levene'!F42=$B42)*ISNUMBER('Lucy Levene'!G42)*(ABS('Lucy Levene'!G42-$C42)&lt;VisitHrs/24)+('Tom Bock'!B42=$B42)*ISNUMBER('Tom Bock'!C42)*(ABS('Tom Bock'!C42-$C42)&lt;VisitHrs/24)+('Tom Bock'!D42=$B42)*ISNUMBER('Tom Bock'!E42)*(ABS('Tom Bock'!E42-$C42)&lt;VisitHrs/24)+('Tom Bock'!F42=$B42)*ISNUMBER('Tom Bock'!G42)*(ABS('Tom Bock'!G42-$C42)&lt;VisitHrs/24)+(Jeremy!B42=$B42)*ISNUMBER(Jeremy!C42)*(ABS(Jeremy!C42-$C42)&lt;VisitHrs/24)+(Jeremy!D42=$B42)*ISNUMBER(Jeremy!E42)*(ABS(Jeremy!E42-$C42)&lt;VisitHrs/24)+(Jeremy!F42=$B42)*ISNUMBER(Jeremy!G42)*(ABS(Jeremy!G42-$C42)&lt;VisitHrs/24)+('Test Patient'!B42=$B42)*ISNUMBER('Test Patient'!C42)*(ABS('Test Patient'!C42-$C42)&lt;VisitHrs/24)+('Test Patient'!D42=$B42)*ISNUMBER('Test Patient'!E42)*(ABS('Test Patient'!E42-$C42)&lt;VisitHrs/24)+('Test Patient'!F42=$B42)*ISNUMBER('Test Patient'!G42)*(ABS('Test Patient'!G42-$C42)&lt;VisitHrs/24))-1)+('Anita Klesch'!$B42=$B42)*($C42&lt;DayEnd)*($C42+VisitHrs/24&gt;DayStart)+('Anita Klesch'!$C42=$B42)*((($C42+VisitHrs/24&gt;DayEnd)+($C42&lt;DayStart))&gt;0)+('Test Patient 2'!$B42=$B42)*($C42&lt;DayEnd)*($C42+VisitHrs/24&gt;DayStart)+('Test Patient 2'!$C42=$B42)*((($C42+VisitHrs/24&gt;DayEnd)+($C42&lt;DayStart))&gt;0)&gt;=1,1,0),0)</f>
        <v>0</v>
      </c>
      <c r="K42" s="12">
        <f>IF(AND($H42=1,$D42&lt;&gt;"",ISNUMBER($E42)),IF(((('Lucy Levene'!B42=$D42)*ISNUMBER('Lucy Levene'!C42)*(ABS('Lucy Levene'!C42-$E42)&lt;VisitHrs/24)+('Lucy Levene'!D42=$D42)*ISNUMBER('Lucy Levene'!E42)*(ABS('Lucy Levene'!E42-$E42)&lt;VisitHrs/24)+('Lucy Levene'!F42=$D42)*ISNUMBER('Lucy Levene'!G42)*(ABS('Lucy Levene'!G42-$E42)&lt;VisitHrs/24)+('Tom Bock'!B42=$D42)*ISNUMBER('Tom Bock'!C42)*(ABS('Tom Bock'!C42-$E42)&lt;VisitHrs/24)+('Tom Bock'!D42=$D42)*ISNUMBER('Tom Bock'!E42)*(ABS('Tom Bock'!E42-$E42)&lt;VisitHrs/24)+('Tom Bock'!F42=$D42)*ISNUMBER('Tom Bock'!G42)*(ABS('Tom Bock'!G42-$E42)&lt;VisitHrs/24)+(Jeremy!B42=$D42)*ISNUMBER(Jeremy!C42)*(ABS(Jeremy!C42-$E42)&lt;VisitHrs/24)+(Jeremy!D42=$D42)*ISNUMBER(Jeremy!E42)*(ABS(Jeremy!E42-$E42)&lt;VisitHrs/24)+(Jeremy!F42=$D42)*ISNUMBER(Jeremy!G42)*(ABS(Jeremy!G42-$E42)&lt;VisitHrs/24)+('Test Patient'!B42=$D42)*ISNUMBER('Test Patient'!C42)*(ABS('Test Patient'!C42-$E42)&lt;VisitHrs/24)+('Test Patient'!D42=$D42)*ISNUMBER('Test Patient'!E42)*(ABS('Test Patient'!E42-$E42)&lt;VisitHrs/24)+('Test Patient'!F42=$D42)*ISNUMBER('Test Patient'!G42)*(ABS('Test Patient'!G42-$E42)&lt;VisitHrs/24))-1)+('Anita Klesch'!$B42=$D42)*($E42&lt;DayEnd)*($E42+VisitHrs/24&gt;DayStart)+('Anita Klesch'!$C42=$D42)*((($E42+VisitHrs/24&gt;DayEnd)+($E42&lt;DayStart))&gt;0)+('Test Patient 2'!$B42=$D42)*($E42&lt;DayEnd)*($E42+VisitHrs/24&gt;DayStart)+('Test Patient 2'!$C42=$D42)*((($E42+VisitHrs/24&gt;DayEnd)+($E42&lt;DayStart))&gt;0)&gt;=1,1,0),0)</f>
        <v>0</v>
      </c>
      <c r="L42" s="12">
        <f>IF(AND($H42=1,$F42&lt;&gt;"",ISNUMBER($G42)),IF(((('Lucy Levene'!B42=$F42)*ISNUMBER('Lucy Levene'!C42)*(ABS('Lucy Levene'!C42-$G42)&lt;VisitHrs/24)+('Lucy Levene'!D42=$F42)*ISNUMBER('Lucy Levene'!E42)*(ABS('Lucy Levene'!E42-$G42)&lt;VisitHrs/24)+('Lucy Levene'!F42=$F42)*ISNUMBER('Lucy Levene'!G42)*(ABS('Lucy Levene'!G42-$G42)&lt;VisitHrs/24)+('Tom Bock'!B42=$F42)*ISNUMBER('Tom Bock'!C42)*(ABS('Tom Bock'!C42-$G42)&lt;VisitHrs/24)+('Tom Bock'!D42=$F42)*ISNUMBER('Tom Bock'!E42)*(ABS('Tom Bock'!E42-$G42)&lt;VisitHrs/24)+('Tom Bock'!F42=$F42)*ISNUMBER('Tom Bock'!G42)*(ABS('Tom Bock'!G42-$G42)&lt;VisitHrs/24)+(Jeremy!B42=$F42)*ISNUMBER(Jeremy!C42)*(ABS(Jeremy!C42-$G42)&lt;VisitHrs/24)+(Jeremy!D42=$F42)*ISNUMBER(Jeremy!E42)*(ABS(Jeremy!E42-$G42)&lt;VisitHrs/24)+(Jeremy!F42=$F42)*ISNUMBER(Jeremy!G42)*(ABS(Jeremy!G42-$G42)&lt;VisitHrs/24)+('Test Patient'!B42=$F42)*ISNUMBER('Test Patient'!C42)*(ABS('Test Patient'!C42-$G42)&lt;VisitHrs/24)+('Test Patient'!D42=$F42)*ISNUMBER('Test Patient'!E42)*(ABS('Test Patient'!E42-$G42)&lt;VisitHrs/24)+('Test Patient'!F42=$F42)*ISNUMBER('Test Patient'!G42)*(ABS('Test Patient'!G42-$G42)&lt;VisitHrs/24))-1)+('Anita Klesch'!$B42=$F42)*($G42&lt;DayEnd)*($G42+VisitHrs/24&gt;DayStart)+('Anita Klesch'!$C42=$F42)*((($G42+VisitHrs/24&gt;DayEnd)+($G42&lt;DayStart))&gt;0)+('Test Patient 2'!$B42=$F42)*($G42&lt;DayEnd)*($G42+VisitHrs/24&gt;DayStart)+('Test Patient 2'!$C42=$F42)*((($G42+VisitHrs/24&gt;DayEnd)+($G42&lt;DayStart))&gt;0)&gt;=1,1,0),0)</f>
        <v>0</v>
      </c>
      <c r="M42" s="12">
        <f t="shared" si="2"/>
        <v>0</v>
      </c>
      <c r="N42" s="12">
        <f t="shared" si="3"/>
        <v>0</v>
      </c>
      <c r="O42" s="12">
        <f t="shared" si="4"/>
        <v>0</v>
      </c>
    </row>
  </sheetData>
  <mergeCells count="2">
    <mergeCell ref="A1:C1"/>
    <mergeCell ref="A2:C2"/>
  </mergeCells>
  <conditionalFormatting sqref="A5:A42">
    <cfRule type="expression" dxfId="41" priority="8">
      <formula>WEEKDAY($A5,2)&gt;5</formula>
    </cfRule>
  </conditionalFormatting>
  <conditionalFormatting sqref="A5:G42">
    <cfRule type="expression" dxfId="40" priority="1" stopIfTrue="1">
      <formula>$H5=0</formula>
    </cfRule>
  </conditionalFormatting>
  <conditionalFormatting sqref="B5:B42">
    <cfRule type="expression" dxfId="39" priority="2">
      <formula>$J5=1</formula>
    </cfRule>
  </conditionalFormatting>
  <conditionalFormatting sqref="C5:C42">
    <cfRule type="expression" dxfId="38" priority="5">
      <formula>AND($H5=1,$B5&lt;&gt;"",$C5="")</formula>
    </cfRule>
  </conditionalFormatting>
  <conditionalFormatting sqref="D5:D42">
    <cfRule type="expression" dxfId="37" priority="3">
      <formula>$K5=1</formula>
    </cfRule>
  </conditionalFormatting>
  <conditionalFormatting sqref="E5:E42">
    <cfRule type="expression" dxfId="36" priority="6">
      <formula>AND($H5=1,$D5&lt;&gt;"",$E5="")</formula>
    </cfRule>
  </conditionalFormatting>
  <conditionalFormatting sqref="F5:F42">
    <cfRule type="expression" dxfId="35" priority="4">
      <formula>$L5=1</formula>
    </cfRule>
  </conditionalFormatting>
  <conditionalFormatting sqref="G5:G42">
    <cfRule type="expression" dxfId="34" priority="7">
      <formula>AND($H5=1,$F5&lt;&gt;"",$G5="")</formula>
    </cfRule>
  </conditionalFormatting>
  <dataValidations count="2">
    <dataValidation type="list" allowBlank="1" showInputMessage="1" showErrorMessage="1" sqref="B5:B42 D5:D42 F5:F42" xr:uid="{7E246E72-006B-45D6-BDF0-47131E04588D}">
      <formula1>StaffList</formula1>
    </dataValidation>
    <dataValidation type="list" errorStyle="information" allowBlank="1" showInputMessage="1" showErrorMessage="1" errorTitle="Custom time" error="Pick a listed time or type an exact time (e.g. 10:15)." sqref="C5:C42 G5:G42 E5:E42" xr:uid="{45A75420-31FC-4E15-9DFA-9D8DCD3DC231}">
      <formula1>TimeList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C52E-D8AC-4C96-B9CB-28A0CFBAA80F}">
  <sheetPr>
    <tabColor rgb="FF7030A0"/>
  </sheetPr>
  <dimension ref="A1:N42"/>
  <sheetViews>
    <sheetView workbookViewId="0">
      <pane ySplit="4" topLeftCell="A5" activePane="bottomLeft" state="frozen"/>
      <selection pane="bottomLeft" activeCell="E23" sqref="E23"/>
    </sheetView>
  </sheetViews>
  <sheetFormatPr baseColWidth="10" defaultColWidth="8.83203125" defaultRowHeight="15" outlineLevelCol="1" x14ac:dyDescent="0.2"/>
  <cols>
    <col min="1" max="1" width="18.1640625" customWidth="1"/>
    <col min="2" max="3" width="22.83203125" customWidth="1"/>
    <col min="8" max="14" width="9.1640625" outlineLevel="1"/>
  </cols>
  <sheetData>
    <row r="1" spans="1:14" ht="21" x14ac:dyDescent="0.25">
      <c r="A1" s="72" t="s">
        <v>76</v>
      </c>
      <c r="B1" s="40"/>
      <c r="C1" s="40"/>
    </row>
    <row r="2" spans="1:14" x14ac:dyDescent="0.2">
      <c r="A2" s="41" t="s">
        <v>77</v>
      </c>
      <c r="B2" s="40"/>
      <c r="C2" s="40"/>
    </row>
    <row r="4" spans="1:14" x14ac:dyDescent="0.2">
      <c r="A4" s="5" t="s">
        <v>2</v>
      </c>
      <c r="B4" s="5" t="s">
        <v>78</v>
      </c>
      <c r="C4" s="5" t="s">
        <v>79</v>
      </c>
      <c r="H4" s="11" t="s">
        <v>67</v>
      </c>
      <c r="I4" s="11"/>
      <c r="J4" s="11" t="s">
        <v>80</v>
      </c>
      <c r="K4" s="11" t="s">
        <v>81</v>
      </c>
      <c r="L4" s="11"/>
      <c r="M4" s="11" t="s">
        <v>82</v>
      </c>
      <c r="N4" s="11" t="s">
        <v>83</v>
      </c>
    </row>
    <row r="5" spans="1:14" x14ac:dyDescent="0.2">
      <c r="A5" s="2">
        <f>DATE(2026,7,8)</f>
        <v>46211</v>
      </c>
      <c r="B5" s="3" t="s">
        <v>15</v>
      </c>
      <c r="C5" s="3" t="s">
        <v>20</v>
      </c>
      <c r="H5" s="12">
        <f t="shared" ref="H5:H42" si="0">IF($A5="",0,IF(AND(OR(NOT(ISNUMBER(AK_Start)),AK_Start=0,$A5&gt;=AK_Start),OR(NOT(ISNUMBER(AK_End)),AK_End=0,$A5&lt;=AK_End)),1,0))</f>
        <v>1</v>
      </c>
      <c r="I5" s="12"/>
      <c r="J5" s="12">
        <f>IF(AND($H5=1,$B5&lt;&gt;""),IF((('Lucy Levene'!B5=$B5)*ISNUMBER('Lucy Levene'!C5)*('Lucy Levene'!C5&lt;DayEnd)*('Lucy Levene'!C5+VisitHrs/24&gt;DayStart)+('Lucy Levene'!D5=$B5)*ISNUMBER('Lucy Levene'!E5)*('Lucy Levene'!E5&lt;DayEnd)*('Lucy Levene'!E5+VisitHrs/24&gt;DayStart)+('Lucy Levene'!F5=$B5)*ISNUMBER('Lucy Levene'!G5)*('Lucy Levene'!G5&lt;DayEnd)*('Lucy Levene'!G5+VisitHrs/24&gt;DayStart)+('Tom Bock'!B5=$B5)*ISNUMBER('Tom Bock'!C5)*('Tom Bock'!C5&lt;DayEnd)*('Tom Bock'!C5+VisitHrs/24&gt;DayStart)+('Tom Bock'!D5=$B5)*ISNUMBER('Tom Bock'!E5)*('Tom Bock'!E5&lt;DayEnd)*('Tom Bock'!E5+VisitHrs/24&gt;DayStart)+('Tom Bock'!F5=$B5)*ISNUMBER('Tom Bock'!G5)*('Tom Bock'!G5&lt;DayEnd)*('Tom Bock'!G5+VisitHrs/24&gt;DayStart)+(Jeremy!B5=$B5)*ISNUMBER(Jeremy!C5)*(Jeremy!C5&lt;DayEnd)*(Jeremy!C5+VisitHrs/24&gt;DayStart)+(Jeremy!D5=$B5)*ISNUMBER(Jeremy!E5)*(Jeremy!E5&lt;DayEnd)*(Jeremy!E5+VisitHrs/24&gt;DayStart)+(Jeremy!F5=$B5)*ISNUMBER(Jeremy!G5)*(Jeremy!G5&lt;DayEnd)*(Jeremy!G5+VisitHrs/24&gt;DayStart)+('Test Patient'!B5=$B5)*ISNUMBER('Test Patient'!C5)*('Test Patient'!C5&lt;DayEnd)*('Test Patient'!C5+VisitHrs/24&gt;DayStart)+('Test Patient'!D5=$B5)*ISNUMBER('Test Patient'!E5)*('Test Patient'!E5&lt;DayEnd)*('Test Patient'!E5+VisitHrs/24&gt;DayStart)+('Test Patient'!F5=$B5)*ISNUMBER('Test Patient'!G5)*('Test Patient'!G5&lt;DayEnd)*('Test Patient'!G5+VisitHrs/24&gt;DayStart))+((('Anita Klesch'!$B5=$B5)+('Test Patient 2'!$B5=$B5))-1)+($C5=$B5)*($B5&lt;&gt;"")&gt;=1,1,0),0)</f>
        <v>0</v>
      </c>
      <c r="K5" s="12">
        <f>IF(AND($H5=1,$C5&lt;&gt;""),IF((('Lucy Levene'!B5=$C5)*ISNUMBER('Lucy Levene'!C5)*((('Lucy Levene'!C5+VisitHrs/24&gt;DayEnd)+('Lucy Levene'!C5&lt;DayStart))&gt;0)+('Lucy Levene'!D5=$C5)*ISNUMBER('Lucy Levene'!E5)*((('Lucy Levene'!E5+VisitHrs/24&gt;DayEnd)+('Lucy Levene'!E5&lt;DayStart))&gt;0)+('Lucy Levene'!F5=$C5)*ISNUMBER('Lucy Levene'!G5)*((('Lucy Levene'!G5+VisitHrs/24&gt;DayEnd)+('Lucy Levene'!G5&lt;DayStart))&gt;0)+('Tom Bock'!B5=$C5)*ISNUMBER('Tom Bock'!C5)*((('Tom Bock'!C5+VisitHrs/24&gt;DayEnd)+('Tom Bock'!C5&lt;DayStart))&gt;0)+('Tom Bock'!D5=$C5)*ISNUMBER('Tom Bock'!E5)*((('Tom Bock'!E5+VisitHrs/24&gt;DayEnd)+('Tom Bock'!E5&lt;DayStart))&gt;0)+('Tom Bock'!F5=$C5)*ISNUMBER('Tom Bock'!G5)*((('Tom Bock'!G5+VisitHrs/24&gt;DayEnd)+('Tom Bock'!G5&lt;DayStart))&gt;0)+(Jeremy!B5=$C5)*ISNUMBER(Jeremy!C5)*(((Jeremy!C5+VisitHrs/24&gt;DayEnd)+(Jeremy!C5&lt;DayStart))&gt;0)+(Jeremy!D5=$C5)*ISNUMBER(Jeremy!E5)*(((Jeremy!E5+VisitHrs/24&gt;DayEnd)+(Jeremy!E5&lt;DayStart))&gt;0)+(Jeremy!F5=$C5)*ISNUMBER(Jeremy!G5)*(((Jeremy!G5+VisitHrs/24&gt;DayEnd)+(Jeremy!G5&lt;DayStart))&gt;0)+('Test Patient'!B5=$C5)*ISNUMBER('Test Patient'!C5)*((('Test Patient'!C5+VisitHrs/24&gt;DayEnd)+('Test Patient'!C5&lt;DayStart))&gt;0)+('Test Patient'!D5=$C5)*ISNUMBER('Test Patient'!E5)*((('Test Patient'!E5+VisitHrs/24&gt;DayEnd)+('Test Patient'!E5&lt;DayStart))&gt;0)+('Test Patient'!F5=$C5)*ISNUMBER('Test Patient'!G5)*((('Test Patient'!G5+VisitHrs/24&gt;DayEnd)+('Test Patient'!G5&lt;DayStart))&gt;0))+((('Anita Klesch'!$C5=$C5)+('Test Patient 2'!$C5=$C5))-1)+($B5=$C5)*($C5&lt;&gt;"")&gt;=1,1,0),0)</f>
        <v>0</v>
      </c>
      <c r="L5" s="12"/>
      <c r="M5" s="12" t="str">
        <f>IF($H5=1,$B5,"")</f>
        <v>Naresh</v>
      </c>
      <c r="N5" s="12" t="str">
        <f>IF($H5=1,$C5,"")</f>
        <v>Maica</v>
      </c>
    </row>
    <row r="6" spans="1:14" x14ac:dyDescent="0.2">
      <c r="A6" s="2">
        <f>A5+1</f>
        <v>46212</v>
      </c>
      <c r="B6" s="3" t="s">
        <v>15</v>
      </c>
      <c r="C6" s="3" t="s">
        <v>20</v>
      </c>
      <c r="H6" s="12">
        <f t="shared" si="0"/>
        <v>1</v>
      </c>
      <c r="I6" s="12"/>
      <c r="J6" s="12">
        <f>IF(AND($H6=1,$B6&lt;&gt;""),IF((('Lucy Levene'!B6=$B6)*ISNUMBER('Lucy Levene'!C6)*('Lucy Levene'!C6&lt;DayEnd)*('Lucy Levene'!C6+VisitHrs/24&gt;DayStart)+('Lucy Levene'!D6=$B6)*ISNUMBER('Lucy Levene'!E6)*('Lucy Levene'!E6&lt;DayEnd)*('Lucy Levene'!E6+VisitHrs/24&gt;DayStart)+('Lucy Levene'!F6=$B6)*ISNUMBER('Lucy Levene'!G6)*('Lucy Levene'!G6&lt;DayEnd)*('Lucy Levene'!G6+VisitHrs/24&gt;DayStart)+('Tom Bock'!B6=$B6)*ISNUMBER('Tom Bock'!C6)*('Tom Bock'!C6&lt;DayEnd)*('Tom Bock'!C6+VisitHrs/24&gt;DayStart)+('Tom Bock'!D6=$B6)*ISNUMBER('Tom Bock'!E6)*('Tom Bock'!E6&lt;DayEnd)*('Tom Bock'!E6+VisitHrs/24&gt;DayStart)+('Tom Bock'!F6=$B6)*ISNUMBER('Tom Bock'!G6)*('Tom Bock'!G6&lt;DayEnd)*('Tom Bock'!G6+VisitHrs/24&gt;DayStart)+(Jeremy!B6=$B6)*ISNUMBER(Jeremy!C6)*(Jeremy!C6&lt;DayEnd)*(Jeremy!C6+VisitHrs/24&gt;DayStart)+(Jeremy!D6=$B6)*ISNUMBER(Jeremy!E6)*(Jeremy!E6&lt;DayEnd)*(Jeremy!E6+VisitHrs/24&gt;DayStart)+(Jeremy!F6=$B6)*ISNUMBER(Jeremy!G6)*(Jeremy!G6&lt;DayEnd)*(Jeremy!G6+VisitHrs/24&gt;DayStart)+('Test Patient'!B6=$B6)*ISNUMBER('Test Patient'!C6)*('Test Patient'!C6&lt;DayEnd)*('Test Patient'!C6+VisitHrs/24&gt;DayStart)+('Test Patient'!D6=$B6)*ISNUMBER('Test Patient'!E6)*('Test Patient'!E6&lt;DayEnd)*('Test Patient'!E6+VisitHrs/24&gt;DayStart)+('Test Patient'!F6=$B6)*ISNUMBER('Test Patient'!G6)*('Test Patient'!G6&lt;DayEnd)*('Test Patient'!G6+VisitHrs/24&gt;DayStart))+((('Anita Klesch'!$B6=$B6)+('Test Patient 2'!$B6=$B6))-1)+($C6=$B6)*($B6&lt;&gt;"")&gt;=1,1,0),0)</f>
        <v>0</v>
      </c>
      <c r="K6" s="12">
        <f>IF(AND($H6=1,$C6&lt;&gt;""),IF((('Lucy Levene'!B6=$C6)*ISNUMBER('Lucy Levene'!C6)*((('Lucy Levene'!C6+VisitHrs/24&gt;DayEnd)+('Lucy Levene'!C6&lt;DayStart))&gt;0)+('Lucy Levene'!D6=$C6)*ISNUMBER('Lucy Levene'!E6)*((('Lucy Levene'!E6+VisitHrs/24&gt;DayEnd)+('Lucy Levene'!E6&lt;DayStart))&gt;0)+('Lucy Levene'!F6=$C6)*ISNUMBER('Lucy Levene'!G6)*((('Lucy Levene'!G6+VisitHrs/24&gt;DayEnd)+('Lucy Levene'!G6&lt;DayStart))&gt;0)+('Tom Bock'!B6=$C6)*ISNUMBER('Tom Bock'!C6)*((('Tom Bock'!C6+VisitHrs/24&gt;DayEnd)+('Tom Bock'!C6&lt;DayStart))&gt;0)+('Tom Bock'!D6=$C6)*ISNUMBER('Tom Bock'!E6)*((('Tom Bock'!E6+VisitHrs/24&gt;DayEnd)+('Tom Bock'!E6&lt;DayStart))&gt;0)+('Tom Bock'!F6=$C6)*ISNUMBER('Tom Bock'!G6)*((('Tom Bock'!G6+VisitHrs/24&gt;DayEnd)+('Tom Bock'!G6&lt;DayStart))&gt;0)+(Jeremy!B6=$C6)*ISNUMBER(Jeremy!C6)*(((Jeremy!C6+VisitHrs/24&gt;DayEnd)+(Jeremy!C6&lt;DayStart))&gt;0)+(Jeremy!D6=$C6)*ISNUMBER(Jeremy!E6)*(((Jeremy!E6+VisitHrs/24&gt;DayEnd)+(Jeremy!E6&lt;DayStart))&gt;0)+(Jeremy!F6=$C6)*ISNUMBER(Jeremy!G6)*(((Jeremy!G6+VisitHrs/24&gt;DayEnd)+(Jeremy!G6&lt;DayStart))&gt;0)+('Test Patient'!B6=$C6)*ISNUMBER('Test Patient'!C6)*((('Test Patient'!C6+VisitHrs/24&gt;DayEnd)+('Test Patient'!C6&lt;DayStart))&gt;0)+('Test Patient'!D6=$C6)*ISNUMBER('Test Patient'!E6)*((('Test Patient'!E6+VisitHrs/24&gt;DayEnd)+('Test Patient'!E6&lt;DayStart))&gt;0)+('Test Patient'!F6=$C6)*ISNUMBER('Test Patient'!G6)*((('Test Patient'!G6+VisitHrs/24&gt;DayEnd)+('Test Patient'!G6&lt;DayStart))&gt;0))+((('Anita Klesch'!$C6=$C6)+('Test Patient 2'!$C6=$C6))-1)+($B6=$C6)*($C6&lt;&gt;"")&gt;=1,1,0),0)</f>
        <v>0</v>
      </c>
      <c r="L6" s="12"/>
      <c r="M6" s="12" t="str">
        <f t="shared" ref="M6:M42" si="1">IF($H6=1,$B6,"")</f>
        <v>Naresh</v>
      </c>
      <c r="N6" s="12" t="str">
        <f t="shared" ref="N6:N42" si="2">IF($H6=1,$C6,"")</f>
        <v>Maica</v>
      </c>
    </row>
    <row r="7" spans="1:14" x14ac:dyDescent="0.2">
      <c r="A7" s="2">
        <f t="shared" ref="A7:A42" si="3">A6+1</f>
        <v>46213</v>
      </c>
      <c r="B7" s="3" t="s">
        <v>16</v>
      </c>
      <c r="C7" s="3" t="s">
        <v>15</v>
      </c>
      <c r="H7" s="12">
        <f t="shared" si="0"/>
        <v>1</v>
      </c>
      <c r="I7" s="12"/>
      <c r="J7" s="12">
        <f>IF(AND($H7=1,$B7&lt;&gt;""),IF((('Lucy Levene'!B7=$B7)*ISNUMBER('Lucy Levene'!C7)*('Lucy Levene'!C7&lt;DayEnd)*('Lucy Levene'!C7+VisitHrs/24&gt;DayStart)+('Lucy Levene'!D7=$B7)*ISNUMBER('Lucy Levene'!E7)*('Lucy Levene'!E7&lt;DayEnd)*('Lucy Levene'!E7+VisitHrs/24&gt;DayStart)+('Lucy Levene'!F7=$B7)*ISNUMBER('Lucy Levene'!G7)*('Lucy Levene'!G7&lt;DayEnd)*('Lucy Levene'!G7+VisitHrs/24&gt;DayStart)+('Tom Bock'!B7=$B7)*ISNUMBER('Tom Bock'!C7)*('Tom Bock'!C7&lt;DayEnd)*('Tom Bock'!C7+VisitHrs/24&gt;DayStart)+('Tom Bock'!D7=$B7)*ISNUMBER('Tom Bock'!E7)*('Tom Bock'!E7&lt;DayEnd)*('Tom Bock'!E7+VisitHrs/24&gt;DayStart)+('Tom Bock'!F7=$B7)*ISNUMBER('Tom Bock'!G7)*('Tom Bock'!G7&lt;DayEnd)*('Tom Bock'!G7+VisitHrs/24&gt;DayStart)+(Jeremy!B7=$B7)*ISNUMBER(Jeremy!C7)*(Jeremy!C7&lt;DayEnd)*(Jeremy!C7+VisitHrs/24&gt;DayStart)+(Jeremy!D7=$B7)*ISNUMBER(Jeremy!E7)*(Jeremy!E7&lt;DayEnd)*(Jeremy!E7+VisitHrs/24&gt;DayStart)+(Jeremy!F7=$B7)*ISNUMBER(Jeremy!G7)*(Jeremy!G7&lt;DayEnd)*(Jeremy!G7+VisitHrs/24&gt;DayStart)+('Test Patient'!B7=$B7)*ISNUMBER('Test Patient'!C7)*('Test Patient'!C7&lt;DayEnd)*('Test Patient'!C7+VisitHrs/24&gt;DayStart)+('Test Patient'!D7=$B7)*ISNUMBER('Test Patient'!E7)*('Test Patient'!E7&lt;DayEnd)*('Test Patient'!E7+VisitHrs/24&gt;DayStart)+('Test Patient'!F7=$B7)*ISNUMBER('Test Patient'!G7)*('Test Patient'!G7&lt;DayEnd)*('Test Patient'!G7+VisitHrs/24&gt;DayStart))+((('Anita Klesch'!$B7=$B7)+('Test Patient 2'!$B7=$B7))-1)+($C7=$B7)*($B7&lt;&gt;"")&gt;=1,1,0),0)</f>
        <v>0</v>
      </c>
      <c r="K7" s="12">
        <f>IF(AND($H7=1,$C7&lt;&gt;""),IF((('Lucy Levene'!B7=$C7)*ISNUMBER('Lucy Levene'!C7)*((('Lucy Levene'!C7+VisitHrs/24&gt;DayEnd)+('Lucy Levene'!C7&lt;DayStart))&gt;0)+('Lucy Levene'!D7=$C7)*ISNUMBER('Lucy Levene'!E7)*((('Lucy Levene'!E7+VisitHrs/24&gt;DayEnd)+('Lucy Levene'!E7&lt;DayStart))&gt;0)+('Lucy Levene'!F7=$C7)*ISNUMBER('Lucy Levene'!G7)*((('Lucy Levene'!G7+VisitHrs/24&gt;DayEnd)+('Lucy Levene'!G7&lt;DayStart))&gt;0)+('Tom Bock'!B7=$C7)*ISNUMBER('Tom Bock'!C7)*((('Tom Bock'!C7+VisitHrs/24&gt;DayEnd)+('Tom Bock'!C7&lt;DayStart))&gt;0)+('Tom Bock'!D7=$C7)*ISNUMBER('Tom Bock'!E7)*((('Tom Bock'!E7+VisitHrs/24&gt;DayEnd)+('Tom Bock'!E7&lt;DayStart))&gt;0)+('Tom Bock'!F7=$C7)*ISNUMBER('Tom Bock'!G7)*((('Tom Bock'!G7+VisitHrs/24&gt;DayEnd)+('Tom Bock'!G7&lt;DayStart))&gt;0)+(Jeremy!B7=$C7)*ISNUMBER(Jeremy!C7)*(((Jeremy!C7+VisitHrs/24&gt;DayEnd)+(Jeremy!C7&lt;DayStart))&gt;0)+(Jeremy!D7=$C7)*ISNUMBER(Jeremy!E7)*(((Jeremy!E7+VisitHrs/24&gt;DayEnd)+(Jeremy!E7&lt;DayStart))&gt;0)+(Jeremy!F7=$C7)*ISNUMBER(Jeremy!G7)*(((Jeremy!G7+VisitHrs/24&gt;DayEnd)+(Jeremy!G7&lt;DayStart))&gt;0)+('Test Patient'!B7=$C7)*ISNUMBER('Test Patient'!C7)*((('Test Patient'!C7+VisitHrs/24&gt;DayEnd)+('Test Patient'!C7&lt;DayStart))&gt;0)+('Test Patient'!D7=$C7)*ISNUMBER('Test Patient'!E7)*((('Test Patient'!E7+VisitHrs/24&gt;DayEnd)+('Test Patient'!E7&lt;DayStart))&gt;0)+('Test Patient'!F7=$C7)*ISNUMBER('Test Patient'!G7)*((('Test Patient'!G7+VisitHrs/24&gt;DayEnd)+('Test Patient'!G7&lt;DayStart))&gt;0))+((('Anita Klesch'!$C7=$C7)+('Test Patient 2'!$C7=$C7))-1)+($B7=$C7)*($C7&lt;&gt;"")&gt;=1,1,0),0)</f>
        <v>0</v>
      </c>
      <c r="L7" s="12"/>
      <c r="M7" s="12" t="str">
        <f t="shared" si="1"/>
        <v>Rochelle</v>
      </c>
      <c r="N7" s="12" t="str">
        <f t="shared" si="2"/>
        <v>Naresh</v>
      </c>
    </row>
    <row r="8" spans="1:14" x14ac:dyDescent="0.2">
      <c r="A8" s="2">
        <f t="shared" si="3"/>
        <v>46214</v>
      </c>
      <c r="B8" s="3" t="s">
        <v>16</v>
      </c>
      <c r="C8" s="3" t="s">
        <v>15</v>
      </c>
      <c r="H8" s="12">
        <f t="shared" si="0"/>
        <v>1</v>
      </c>
      <c r="I8" s="12"/>
      <c r="J8" s="12">
        <f>IF(AND($H8=1,$B8&lt;&gt;""),IF((('Lucy Levene'!B8=$B8)*ISNUMBER('Lucy Levene'!C8)*('Lucy Levene'!C8&lt;DayEnd)*('Lucy Levene'!C8+VisitHrs/24&gt;DayStart)+('Lucy Levene'!D8=$B8)*ISNUMBER('Lucy Levene'!E8)*('Lucy Levene'!E8&lt;DayEnd)*('Lucy Levene'!E8+VisitHrs/24&gt;DayStart)+('Lucy Levene'!F8=$B8)*ISNUMBER('Lucy Levene'!G8)*('Lucy Levene'!G8&lt;DayEnd)*('Lucy Levene'!G8+VisitHrs/24&gt;DayStart)+('Tom Bock'!B8=$B8)*ISNUMBER('Tom Bock'!C8)*('Tom Bock'!C8&lt;DayEnd)*('Tom Bock'!C8+VisitHrs/24&gt;DayStart)+('Tom Bock'!D8=$B8)*ISNUMBER('Tom Bock'!E8)*('Tom Bock'!E8&lt;DayEnd)*('Tom Bock'!E8+VisitHrs/24&gt;DayStart)+('Tom Bock'!F8=$B8)*ISNUMBER('Tom Bock'!G8)*('Tom Bock'!G8&lt;DayEnd)*('Tom Bock'!G8+VisitHrs/24&gt;DayStart)+(Jeremy!B8=$B8)*ISNUMBER(Jeremy!C8)*(Jeremy!C8&lt;DayEnd)*(Jeremy!C8+VisitHrs/24&gt;DayStart)+(Jeremy!D8=$B8)*ISNUMBER(Jeremy!E8)*(Jeremy!E8&lt;DayEnd)*(Jeremy!E8+VisitHrs/24&gt;DayStart)+(Jeremy!F8=$B8)*ISNUMBER(Jeremy!G8)*(Jeremy!G8&lt;DayEnd)*(Jeremy!G8+VisitHrs/24&gt;DayStart)+('Test Patient'!B8=$B8)*ISNUMBER('Test Patient'!C8)*('Test Patient'!C8&lt;DayEnd)*('Test Patient'!C8+VisitHrs/24&gt;DayStart)+('Test Patient'!D8=$B8)*ISNUMBER('Test Patient'!E8)*('Test Patient'!E8&lt;DayEnd)*('Test Patient'!E8+VisitHrs/24&gt;DayStart)+('Test Patient'!F8=$B8)*ISNUMBER('Test Patient'!G8)*('Test Patient'!G8&lt;DayEnd)*('Test Patient'!G8+VisitHrs/24&gt;DayStart))+((('Anita Klesch'!$B8=$B8)+('Test Patient 2'!$B8=$B8))-1)+($C8=$B8)*($B8&lt;&gt;"")&gt;=1,1,0),0)</f>
        <v>0</v>
      </c>
      <c r="K8" s="12">
        <f>IF(AND($H8=1,$C8&lt;&gt;""),IF((('Lucy Levene'!B8=$C8)*ISNUMBER('Lucy Levene'!C8)*((('Lucy Levene'!C8+VisitHrs/24&gt;DayEnd)+('Lucy Levene'!C8&lt;DayStart))&gt;0)+('Lucy Levene'!D8=$C8)*ISNUMBER('Lucy Levene'!E8)*((('Lucy Levene'!E8+VisitHrs/24&gt;DayEnd)+('Lucy Levene'!E8&lt;DayStart))&gt;0)+('Lucy Levene'!F8=$C8)*ISNUMBER('Lucy Levene'!G8)*((('Lucy Levene'!G8+VisitHrs/24&gt;DayEnd)+('Lucy Levene'!G8&lt;DayStart))&gt;0)+('Tom Bock'!B8=$C8)*ISNUMBER('Tom Bock'!C8)*((('Tom Bock'!C8+VisitHrs/24&gt;DayEnd)+('Tom Bock'!C8&lt;DayStart))&gt;0)+('Tom Bock'!D8=$C8)*ISNUMBER('Tom Bock'!E8)*((('Tom Bock'!E8+VisitHrs/24&gt;DayEnd)+('Tom Bock'!E8&lt;DayStart))&gt;0)+('Tom Bock'!F8=$C8)*ISNUMBER('Tom Bock'!G8)*((('Tom Bock'!G8+VisitHrs/24&gt;DayEnd)+('Tom Bock'!G8&lt;DayStart))&gt;0)+(Jeremy!B8=$C8)*ISNUMBER(Jeremy!C8)*(((Jeremy!C8+VisitHrs/24&gt;DayEnd)+(Jeremy!C8&lt;DayStart))&gt;0)+(Jeremy!D8=$C8)*ISNUMBER(Jeremy!E8)*(((Jeremy!E8+VisitHrs/24&gt;DayEnd)+(Jeremy!E8&lt;DayStart))&gt;0)+(Jeremy!F8=$C8)*ISNUMBER(Jeremy!G8)*(((Jeremy!G8+VisitHrs/24&gt;DayEnd)+(Jeremy!G8&lt;DayStart))&gt;0)+('Test Patient'!B8=$C8)*ISNUMBER('Test Patient'!C8)*((('Test Patient'!C8+VisitHrs/24&gt;DayEnd)+('Test Patient'!C8&lt;DayStart))&gt;0)+('Test Patient'!D8=$C8)*ISNUMBER('Test Patient'!E8)*((('Test Patient'!E8+VisitHrs/24&gt;DayEnd)+('Test Patient'!E8&lt;DayStart))&gt;0)+('Test Patient'!F8=$C8)*ISNUMBER('Test Patient'!G8)*((('Test Patient'!G8+VisitHrs/24&gt;DayEnd)+('Test Patient'!G8&lt;DayStart))&gt;0))+((('Anita Klesch'!$C8=$C8)+('Test Patient 2'!$C8=$C8))-1)+($B8=$C8)*($C8&lt;&gt;"")&gt;=1,1,0),0)</f>
        <v>0</v>
      </c>
      <c r="L8" s="12"/>
      <c r="M8" s="12" t="str">
        <f t="shared" si="1"/>
        <v>Rochelle</v>
      </c>
      <c r="N8" s="12" t="str">
        <f t="shared" si="2"/>
        <v>Naresh</v>
      </c>
    </row>
    <row r="9" spans="1:14" x14ac:dyDescent="0.2">
      <c r="A9" s="2">
        <f t="shared" si="3"/>
        <v>46215</v>
      </c>
      <c r="B9" s="3" t="s">
        <v>16</v>
      </c>
      <c r="C9" s="3" t="s">
        <v>15</v>
      </c>
      <c r="H9" s="12">
        <f t="shared" si="0"/>
        <v>1</v>
      </c>
      <c r="I9" s="12"/>
      <c r="J9" s="12">
        <f>IF(AND($H9=1,$B9&lt;&gt;""),IF((('Lucy Levene'!B9=$B9)*ISNUMBER('Lucy Levene'!C9)*('Lucy Levene'!C9&lt;DayEnd)*('Lucy Levene'!C9+VisitHrs/24&gt;DayStart)+('Lucy Levene'!D9=$B9)*ISNUMBER('Lucy Levene'!E9)*('Lucy Levene'!E9&lt;DayEnd)*('Lucy Levene'!E9+VisitHrs/24&gt;DayStart)+('Lucy Levene'!F9=$B9)*ISNUMBER('Lucy Levene'!G9)*('Lucy Levene'!G9&lt;DayEnd)*('Lucy Levene'!G9+VisitHrs/24&gt;DayStart)+('Tom Bock'!B9=$B9)*ISNUMBER('Tom Bock'!C9)*('Tom Bock'!C9&lt;DayEnd)*('Tom Bock'!C9+VisitHrs/24&gt;DayStart)+('Tom Bock'!D9=$B9)*ISNUMBER('Tom Bock'!E9)*('Tom Bock'!E9&lt;DayEnd)*('Tom Bock'!E9+VisitHrs/24&gt;DayStart)+('Tom Bock'!F9=$B9)*ISNUMBER('Tom Bock'!G9)*('Tom Bock'!G9&lt;DayEnd)*('Tom Bock'!G9+VisitHrs/24&gt;DayStart)+(Jeremy!B9=$B9)*ISNUMBER(Jeremy!C9)*(Jeremy!C9&lt;DayEnd)*(Jeremy!C9+VisitHrs/24&gt;DayStart)+(Jeremy!D9=$B9)*ISNUMBER(Jeremy!E9)*(Jeremy!E9&lt;DayEnd)*(Jeremy!E9+VisitHrs/24&gt;DayStart)+(Jeremy!F9=$B9)*ISNUMBER(Jeremy!G9)*(Jeremy!G9&lt;DayEnd)*(Jeremy!G9+VisitHrs/24&gt;DayStart)+('Test Patient'!B9=$B9)*ISNUMBER('Test Patient'!C9)*('Test Patient'!C9&lt;DayEnd)*('Test Patient'!C9+VisitHrs/24&gt;DayStart)+('Test Patient'!D9=$B9)*ISNUMBER('Test Patient'!E9)*('Test Patient'!E9&lt;DayEnd)*('Test Patient'!E9+VisitHrs/24&gt;DayStart)+('Test Patient'!F9=$B9)*ISNUMBER('Test Patient'!G9)*('Test Patient'!G9&lt;DayEnd)*('Test Patient'!G9+VisitHrs/24&gt;DayStart))+((('Anita Klesch'!$B9=$B9)+('Test Patient 2'!$B9=$B9))-1)+($C9=$B9)*($B9&lt;&gt;"")&gt;=1,1,0),0)</f>
        <v>0</v>
      </c>
      <c r="K9" s="12">
        <f>IF(AND($H9=1,$C9&lt;&gt;""),IF((('Lucy Levene'!B9=$C9)*ISNUMBER('Lucy Levene'!C9)*((('Lucy Levene'!C9+VisitHrs/24&gt;DayEnd)+('Lucy Levene'!C9&lt;DayStart))&gt;0)+('Lucy Levene'!D9=$C9)*ISNUMBER('Lucy Levene'!E9)*((('Lucy Levene'!E9+VisitHrs/24&gt;DayEnd)+('Lucy Levene'!E9&lt;DayStart))&gt;0)+('Lucy Levene'!F9=$C9)*ISNUMBER('Lucy Levene'!G9)*((('Lucy Levene'!G9+VisitHrs/24&gt;DayEnd)+('Lucy Levene'!G9&lt;DayStart))&gt;0)+('Tom Bock'!B9=$C9)*ISNUMBER('Tom Bock'!C9)*((('Tom Bock'!C9+VisitHrs/24&gt;DayEnd)+('Tom Bock'!C9&lt;DayStart))&gt;0)+('Tom Bock'!D9=$C9)*ISNUMBER('Tom Bock'!E9)*((('Tom Bock'!E9+VisitHrs/24&gt;DayEnd)+('Tom Bock'!E9&lt;DayStart))&gt;0)+('Tom Bock'!F9=$C9)*ISNUMBER('Tom Bock'!G9)*((('Tom Bock'!G9+VisitHrs/24&gt;DayEnd)+('Tom Bock'!G9&lt;DayStart))&gt;0)+(Jeremy!B9=$C9)*ISNUMBER(Jeremy!C9)*(((Jeremy!C9+VisitHrs/24&gt;DayEnd)+(Jeremy!C9&lt;DayStart))&gt;0)+(Jeremy!D9=$C9)*ISNUMBER(Jeremy!E9)*(((Jeremy!E9+VisitHrs/24&gt;DayEnd)+(Jeremy!E9&lt;DayStart))&gt;0)+(Jeremy!F9=$C9)*ISNUMBER(Jeremy!G9)*(((Jeremy!G9+VisitHrs/24&gt;DayEnd)+(Jeremy!G9&lt;DayStart))&gt;0)+('Test Patient'!B9=$C9)*ISNUMBER('Test Patient'!C9)*((('Test Patient'!C9+VisitHrs/24&gt;DayEnd)+('Test Patient'!C9&lt;DayStart))&gt;0)+('Test Patient'!D9=$C9)*ISNUMBER('Test Patient'!E9)*((('Test Patient'!E9+VisitHrs/24&gt;DayEnd)+('Test Patient'!E9&lt;DayStart))&gt;0)+('Test Patient'!F9=$C9)*ISNUMBER('Test Patient'!G9)*((('Test Patient'!G9+VisitHrs/24&gt;DayEnd)+('Test Patient'!G9&lt;DayStart))&gt;0))+((('Anita Klesch'!$C9=$C9)+('Test Patient 2'!$C9=$C9))-1)+($B9=$C9)*($C9&lt;&gt;"")&gt;=1,1,0),0)</f>
        <v>0</v>
      </c>
      <c r="L9" s="12"/>
      <c r="M9" s="12" t="str">
        <f t="shared" si="1"/>
        <v>Rochelle</v>
      </c>
      <c r="N9" s="12" t="str">
        <f t="shared" si="2"/>
        <v>Naresh</v>
      </c>
    </row>
    <row r="10" spans="1:14" x14ac:dyDescent="0.2">
      <c r="A10" s="2">
        <f t="shared" si="3"/>
        <v>46216</v>
      </c>
      <c r="B10" s="3" t="s">
        <v>19</v>
      </c>
      <c r="C10" s="3" t="s">
        <v>20</v>
      </c>
      <c r="H10" s="12">
        <f t="shared" si="0"/>
        <v>1</v>
      </c>
      <c r="I10" s="12"/>
      <c r="J10" s="12">
        <f>IF(AND($H10=1,$B10&lt;&gt;""),IF((('Lucy Levene'!B10=$B10)*ISNUMBER('Lucy Levene'!C10)*('Lucy Levene'!C10&lt;DayEnd)*('Lucy Levene'!C10+VisitHrs/24&gt;DayStart)+('Lucy Levene'!D10=$B10)*ISNUMBER('Lucy Levene'!E10)*('Lucy Levene'!E10&lt;DayEnd)*('Lucy Levene'!E10+VisitHrs/24&gt;DayStart)+('Lucy Levene'!F10=$B10)*ISNUMBER('Lucy Levene'!G10)*('Lucy Levene'!G10&lt;DayEnd)*('Lucy Levene'!G10+VisitHrs/24&gt;DayStart)+('Tom Bock'!B10=$B10)*ISNUMBER('Tom Bock'!C10)*('Tom Bock'!C10&lt;DayEnd)*('Tom Bock'!C10+VisitHrs/24&gt;DayStart)+('Tom Bock'!D10=$B10)*ISNUMBER('Tom Bock'!E10)*('Tom Bock'!E10&lt;DayEnd)*('Tom Bock'!E10+VisitHrs/24&gt;DayStart)+('Tom Bock'!F10=$B10)*ISNUMBER('Tom Bock'!G10)*('Tom Bock'!G10&lt;DayEnd)*('Tom Bock'!G10+VisitHrs/24&gt;DayStart)+(Jeremy!B10=$B10)*ISNUMBER(Jeremy!C10)*(Jeremy!C10&lt;DayEnd)*(Jeremy!C10+VisitHrs/24&gt;DayStart)+(Jeremy!D10=$B10)*ISNUMBER(Jeremy!E10)*(Jeremy!E10&lt;DayEnd)*(Jeremy!E10+VisitHrs/24&gt;DayStart)+(Jeremy!F10=$B10)*ISNUMBER(Jeremy!G10)*(Jeremy!G10&lt;DayEnd)*(Jeremy!G10+VisitHrs/24&gt;DayStart)+('Test Patient'!B10=$B10)*ISNUMBER('Test Patient'!C10)*('Test Patient'!C10&lt;DayEnd)*('Test Patient'!C10+VisitHrs/24&gt;DayStart)+('Test Patient'!D10=$B10)*ISNUMBER('Test Patient'!E10)*('Test Patient'!E10&lt;DayEnd)*('Test Patient'!E10+VisitHrs/24&gt;DayStart)+('Test Patient'!F10=$B10)*ISNUMBER('Test Patient'!G10)*('Test Patient'!G10&lt;DayEnd)*('Test Patient'!G10+VisitHrs/24&gt;DayStart))+((('Anita Klesch'!$B10=$B10)+('Test Patient 2'!$B10=$B10))-1)+($C10=$B10)*($B10&lt;&gt;"")&gt;=1,1,0),0)</f>
        <v>0</v>
      </c>
      <c r="K10" s="12">
        <f>IF(AND($H10=1,$C10&lt;&gt;""),IF((('Lucy Levene'!B10=$C10)*ISNUMBER('Lucy Levene'!C10)*((('Lucy Levene'!C10+VisitHrs/24&gt;DayEnd)+('Lucy Levene'!C10&lt;DayStart))&gt;0)+('Lucy Levene'!D10=$C10)*ISNUMBER('Lucy Levene'!E10)*((('Lucy Levene'!E10+VisitHrs/24&gt;DayEnd)+('Lucy Levene'!E10&lt;DayStart))&gt;0)+('Lucy Levene'!F10=$C10)*ISNUMBER('Lucy Levene'!G10)*((('Lucy Levene'!G10+VisitHrs/24&gt;DayEnd)+('Lucy Levene'!G10&lt;DayStart))&gt;0)+('Tom Bock'!B10=$C10)*ISNUMBER('Tom Bock'!C10)*((('Tom Bock'!C10+VisitHrs/24&gt;DayEnd)+('Tom Bock'!C10&lt;DayStart))&gt;0)+('Tom Bock'!D10=$C10)*ISNUMBER('Tom Bock'!E10)*((('Tom Bock'!E10+VisitHrs/24&gt;DayEnd)+('Tom Bock'!E10&lt;DayStart))&gt;0)+('Tom Bock'!F10=$C10)*ISNUMBER('Tom Bock'!G10)*((('Tom Bock'!G10+VisitHrs/24&gt;DayEnd)+('Tom Bock'!G10&lt;DayStart))&gt;0)+(Jeremy!B10=$C10)*ISNUMBER(Jeremy!C10)*(((Jeremy!C10+VisitHrs/24&gt;DayEnd)+(Jeremy!C10&lt;DayStart))&gt;0)+(Jeremy!D10=$C10)*ISNUMBER(Jeremy!E10)*(((Jeremy!E10+VisitHrs/24&gt;DayEnd)+(Jeremy!E10&lt;DayStart))&gt;0)+(Jeremy!F10=$C10)*ISNUMBER(Jeremy!G10)*(((Jeremy!G10+VisitHrs/24&gt;DayEnd)+(Jeremy!G10&lt;DayStart))&gt;0)+('Test Patient'!B10=$C10)*ISNUMBER('Test Patient'!C10)*((('Test Patient'!C10+VisitHrs/24&gt;DayEnd)+('Test Patient'!C10&lt;DayStart))&gt;0)+('Test Patient'!D10=$C10)*ISNUMBER('Test Patient'!E10)*((('Test Patient'!E10+VisitHrs/24&gt;DayEnd)+('Test Patient'!E10&lt;DayStart))&gt;0)+('Test Patient'!F10=$C10)*ISNUMBER('Test Patient'!G10)*((('Test Patient'!G10+VisitHrs/24&gt;DayEnd)+('Test Patient'!G10&lt;DayStart))&gt;0))+((('Anita Klesch'!$C10=$C10)+('Test Patient 2'!$C10=$C10))-1)+($B10=$C10)*($C10&lt;&gt;"")&gt;=1,1,0),0)</f>
        <v>0</v>
      </c>
      <c r="L10" s="12"/>
      <c r="M10" s="12" t="str">
        <f t="shared" si="1"/>
        <v>Ruth</v>
      </c>
      <c r="N10" s="12" t="str">
        <f t="shared" si="2"/>
        <v>Maica</v>
      </c>
    </row>
    <row r="11" spans="1:14" x14ac:dyDescent="0.2">
      <c r="A11" s="2">
        <f t="shared" si="3"/>
        <v>46217</v>
      </c>
      <c r="B11" s="3" t="s">
        <v>19</v>
      </c>
      <c r="C11" s="3" t="s">
        <v>20</v>
      </c>
      <c r="H11" s="12">
        <f t="shared" si="0"/>
        <v>1</v>
      </c>
      <c r="I11" s="12"/>
      <c r="J11" s="12">
        <f>IF(AND($H11=1,$B11&lt;&gt;""),IF((('Lucy Levene'!B11=$B11)*ISNUMBER('Lucy Levene'!C11)*('Lucy Levene'!C11&lt;DayEnd)*('Lucy Levene'!C11+VisitHrs/24&gt;DayStart)+('Lucy Levene'!D11=$B11)*ISNUMBER('Lucy Levene'!E11)*('Lucy Levene'!E11&lt;DayEnd)*('Lucy Levene'!E11+VisitHrs/24&gt;DayStart)+('Lucy Levene'!F11=$B11)*ISNUMBER('Lucy Levene'!G11)*('Lucy Levene'!G11&lt;DayEnd)*('Lucy Levene'!G11+VisitHrs/24&gt;DayStart)+('Tom Bock'!B11=$B11)*ISNUMBER('Tom Bock'!C11)*('Tom Bock'!C11&lt;DayEnd)*('Tom Bock'!C11+VisitHrs/24&gt;DayStart)+('Tom Bock'!D11=$B11)*ISNUMBER('Tom Bock'!E11)*('Tom Bock'!E11&lt;DayEnd)*('Tom Bock'!E11+VisitHrs/24&gt;DayStart)+('Tom Bock'!F11=$B11)*ISNUMBER('Tom Bock'!G11)*('Tom Bock'!G11&lt;DayEnd)*('Tom Bock'!G11+VisitHrs/24&gt;DayStart)+(Jeremy!B11=$B11)*ISNUMBER(Jeremy!C11)*(Jeremy!C11&lt;DayEnd)*(Jeremy!C11+VisitHrs/24&gt;DayStart)+(Jeremy!D11=$B11)*ISNUMBER(Jeremy!E11)*(Jeremy!E11&lt;DayEnd)*(Jeremy!E11+VisitHrs/24&gt;DayStart)+(Jeremy!F11=$B11)*ISNUMBER(Jeremy!G11)*(Jeremy!G11&lt;DayEnd)*(Jeremy!G11+VisitHrs/24&gt;DayStart)+('Test Patient'!B11=$B11)*ISNUMBER('Test Patient'!C11)*('Test Patient'!C11&lt;DayEnd)*('Test Patient'!C11+VisitHrs/24&gt;DayStart)+('Test Patient'!D11=$B11)*ISNUMBER('Test Patient'!E11)*('Test Patient'!E11&lt;DayEnd)*('Test Patient'!E11+VisitHrs/24&gt;DayStart)+('Test Patient'!F11=$B11)*ISNUMBER('Test Patient'!G11)*('Test Patient'!G11&lt;DayEnd)*('Test Patient'!G11+VisitHrs/24&gt;DayStart))+((('Anita Klesch'!$B11=$B11)+('Test Patient 2'!$B11=$B11))-1)+($C11=$B11)*($B11&lt;&gt;"")&gt;=1,1,0),0)</f>
        <v>0</v>
      </c>
      <c r="K11" s="12">
        <f>IF(AND($H11=1,$C11&lt;&gt;""),IF((('Lucy Levene'!B11=$C11)*ISNUMBER('Lucy Levene'!C11)*((('Lucy Levene'!C11+VisitHrs/24&gt;DayEnd)+('Lucy Levene'!C11&lt;DayStart))&gt;0)+('Lucy Levene'!D11=$C11)*ISNUMBER('Lucy Levene'!E11)*((('Lucy Levene'!E11+VisitHrs/24&gt;DayEnd)+('Lucy Levene'!E11&lt;DayStart))&gt;0)+('Lucy Levene'!F11=$C11)*ISNUMBER('Lucy Levene'!G11)*((('Lucy Levene'!G11+VisitHrs/24&gt;DayEnd)+('Lucy Levene'!G11&lt;DayStart))&gt;0)+('Tom Bock'!B11=$C11)*ISNUMBER('Tom Bock'!C11)*((('Tom Bock'!C11+VisitHrs/24&gt;DayEnd)+('Tom Bock'!C11&lt;DayStart))&gt;0)+('Tom Bock'!D11=$C11)*ISNUMBER('Tom Bock'!E11)*((('Tom Bock'!E11+VisitHrs/24&gt;DayEnd)+('Tom Bock'!E11&lt;DayStart))&gt;0)+('Tom Bock'!F11=$C11)*ISNUMBER('Tom Bock'!G11)*((('Tom Bock'!G11+VisitHrs/24&gt;DayEnd)+('Tom Bock'!G11&lt;DayStart))&gt;0)+(Jeremy!B11=$C11)*ISNUMBER(Jeremy!C11)*(((Jeremy!C11+VisitHrs/24&gt;DayEnd)+(Jeremy!C11&lt;DayStart))&gt;0)+(Jeremy!D11=$C11)*ISNUMBER(Jeremy!E11)*(((Jeremy!E11+VisitHrs/24&gt;DayEnd)+(Jeremy!E11&lt;DayStart))&gt;0)+(Jeremy!F11=$C11)*ISNUMBER(Jeremy!G11)*(((Jeremy!G11+VisitHrs/24&gt;DayEnd)+(Jeremy!G11&lt;DayStart))&gt;0)+('Test Patient'!B11=$C11)*ISNUMBER('Test Patient'!C11)*((('Test Patient'!C11+VisitHrs/24&gt;DayEnd)+('Test Patient'!C11&lt;DayStart))&gt;0)+('Test Patient'!D11=$C11)*ISNUMBER('Test Patient'!E11)*((('Test Patient'!E11+VisitHrs/24&gt;DayEnd)+('Test Patient'!E11&lt;DayStart))&gt;0)+('Test Patient'!F11=$C11)*ISNUMBER('Test Patient'!G11)*((('Test Patient'!G11+VisitHrs/24&gt;DayEnd)+('Test Patient'!G11&lt;DayStart))&gt;0))+((('Anita Klesch'!$C11=$C11)+('Test Patient 2'!$C11=$C11))-1)+($B11=$C11)*($C11&lt;&gt;"")&gt;=1,1,0),0)</f>
        <v>0</v>
      </c>
      <c r="L11" s="12"/>
      <c r="M11" s="12" t="str">
        <f t="shared" si="1"/>
        <v>Ruth</v>
      </c>
      <c r="N11" s="12" t="str">
        <f t="shared" si="2"/>
        <v>Maica</v>
      </c>
    </row>
    <row r="12" spans="1:14" x14ac:dyDescent="0.2">
      <c r="A12" s="2">
        <f t="shared" si="3"/>
        <v>46218</v>
      </c>
      <c r="B12" s="3" t="s">
        <v>15</v>
      </c>
      <c r="C12" s="3" t="s">
        <v>20</v>
      </c>
      <c r="H12" s="12">
        <f t="shared" si="0"/>
        <v>1</v>
      </c>
      <c r="I12" s="12"/>
      <c r="J12" s="12">
        <f>IF(AND($H12=1,$B12&lt;&gt;""),IF((('Lucy Levene'!B12=$B12)*ISNUMBER('Lucy Levene'!C12)*('Lucy Levene'!C12&lt;DayEnd)*('Lucy Levene'!C12+VisitHrs/24&gt;DayStart)+('Lucy Levene'!D12=$B12)*ISNUMBER('Lucy Levene'!E12)*('Lucy Levene'!E12&lt;DayEnd)*('Lucy Levene'!E12+VisitHrs/24&gt;DayStart)+('Lucy Levene'!F12=$B12)*ISNUMBER('Lucy Levene'!G12)*('Lucy Levene'!G12&lt;DayEnd)*('Lucy Levene'!G12+VisitHrs/24&gt;DayStart)+('Tom Bock'!B12=$B12)*ISNUMBER('Tom Bock'!C12)*('Tom Bock'!C12&lt;DayEnd)*('Tom Bock'!C12+VisitHrs/24&gt;DayStart)+('Tom Bock'!D12=$B12)*ISNUMBER('Tom Bock'!E12)*('Tom Bock'!E12&lt;DayEnd)*('Tom Bock'!E12+VisitHrs/24&gt;DayStart)+('Tom Bock'!F12=$B12)*ISNUMBER('Tom Bock'!G12)*('Tom Bock'!G12&lt;DayEnd)*('Tom Bock'!G12+VisitHrs/24&gt;DayStart)+(Jeremy!B12=$B12)*ISNUMBER(Jeremy!C12)*(Jeremy!C12&lt;DayEnd)*(Jeremy!C12+VisitHrs/24&gt;DayStart)+(Jeremy!D12=$B12)*ISNUMBER(Jeremy!E12)*(Jeremy!E12&lt;DayEnd)*(Jeremy!E12+VisitHrs/24&gt;DayStart)+(Jeremy!F12=$B12)*ISNUMBER(Jeremy!G12)*(Jeremy!G12&lt;DayEnd)*(Jeremy!G12+VisitHrs/24&gt;DayStart)+('Test Patient'!B12=$B12)*ISNUMBER('Test Patient'!C12)*('Test Patient'!C12&lt;DayEnd)*('Test Patient'!C12+VisitHrs/24&gt;DayStart)+('Test Patient'!D12=$B12)*ISNUMBER('Test Patient'!E12)*('Test Patient'!E12&lt;DayEnd)*('Test Patient'!E12+VisitHrs/24&gt;DayStart)+('Test Patient'!F12=$B12)*ISNUMBER('Test Patient'!G12)*('Test Patient'!G12&lt;DayEnd)*('Test Patient'!G12+VisitHrs/24&gt;DayStart))+((('Anita Klesch'!$B12=$B12)+('Test Patient 2'!$B12=$B12))-1)+($C12=$B12)*($B12&lt;&gt;"")&gt;=1,1,0),0)</f>
        <v>0</v>
      </c>
      <c r="K12" s="12">
        <f>IF(AND($H12=1,$C12&lt;&gt;""),IF((('Lucy Levene'!B12=$C12)*ISNUMBER('Lucy Levene'!C12)*((('Lucy Levene'!C12+VisitHrs/24&gt;DayEnd)+('Lucy Levene'!C12&lt;DayStart))&gt;0)+('Lucy Levene'!D12=$C12)*ISNUMBER('Lucy Levene'!E12)*((('Lucy Levene'!E12+VisitHrs/24&gt;DayEnd)+('Lucy Levene'!E12&lt;DayStart))&gt;0)+('Lucy Levene'!F12=$C12)*ISNUMBER('Lucy Levene'!G12)*((('Lucy Levene'!G12+VisitHrs/24&gt;DayEnd)+('Lucy Levene'!G12&lt;DayStart))&gt;0)+('Tom Bock'!B12=$C12)*ISNUMBER('Tom Bock'!C12)*((('Tom Bock'!C12+VisitHrs/24&gt;DayEnd)+('Tom Bock'!C12&lt;DayStart))&gt;0)+('Tom Bock'!D12=$C12)*ISNUMBER('Tom Bock'!E12)*((('Tom Bock'!E12+VisitHrs/24&gt;DayEnd)+('Tom Bock'!E12&lt;DayStart))&gt;0)+('Tom Bock'!F12=$C12)*ISNUMBER('Tom Bock'!G12)*((('Tom Bock'!G12+VisitHrs/24&gt;DayEnd)+('Tom Bock'!G12&lt;DayStart))&gt;0)+(Jeremy!B12=$C12)*ISNUMBER(Jeremy!C12)*(((Jeremy!C12+VisitHrs/24&gt;DayEnd)+(Jeremy!C12&lt;DayStart))&gt;0)+(Jeremy!D12=$C12)*ISNUMBER(Jeremy!E12)*(((Jeremy!E12+VisitHrs/24&gt;DayEnd)+(Jeremy!E12&lt;DayStart))&gt;0)+(Jeremy!F12=$C12)*ISNUMBER(Jeremy!G12)*(((Jeremy!G12+VisitHrs/24&gt;DayEnd)+(Jeremy!G12&lt;DayStart))&gt;0)+('Test Patient'!B12=$C12)*ISNUMBER('Test Patient'!C12)*((('Test Patient'!C12+VisitHrs/24&gt;DayEnd)+('Test Patient'!C12&lt;DayStart))&gt;0)+('Test Patient'!D12=$C12)*ISNUMBER('Test Patient'!E12)*((('Test Patient'!E12+VisitHrs/24&gt;DayEnd)+('Test Patient'!E12&lt;DayStart))&gt;0)+('Test Patient'!F12=$C12)*ISNUMBER('Test Patient'!G12)*((('Test Patient'!G12+VisitHrs/24&gt;DayEnd)+('Test Patient'!G12&lt;DayStart))&gt;0))+((('Anita Klesch'!$C12=$C12)+('Test Patient 2'!$C12=$C12))-1)+($B12=$C12)*($C12&lt;&gt;"")&gt;=1,1,0),0)</f>
        <v>0</v>
      </c>
      <c r="L12" s="12"/>
      <c r="M12" s="12" t="str">
        <f t="shared" si="1"/>
        <v>Naresh</v>
      </c>
      <c r="N12" s="12" t="str">
        <f t="shared" si="2"/>
        <v>Maica</v>
      </c>
    </row>
    <row r="13" spans="1:14" x14ac:dyDescent="0.2">
      <c r="A13" s="2">
        <f t="shared" si="3"/>
        <v>46219</v>
      </c>
      <c r="B13" s="3" t="s">
        <v>15</v>
      </c>
      <c r="C13" s="3" t="s">
        <v>20</v>
      </c>
      <c r="H13" s="12">
        <f t="shared" si="0"/>
        <v>1</v>
      </c>
      <c r="I13" s="12"/>
      <c r="J13" s="12">
        <f>IF(AND($H13=1,$B13&lt;&gt;""),IF((('Lucy Levene'!B13=$B13)*ISNUMBER('Lucy Levene'!C13)*('Lucy Levene'!C13&lt;DayEnd)*('Lucy Levene'!C13+VisitHrs/24&gt;DayStart)+('Lucy Levene'!D13=$B13)*ISNUMBER('Lucy Levene'!E13)*('Lucy Levene'!E13&lt;DayEnd)*('Lucy Levene'!E13+VisitHrs/24&gt;DayStart)+('Lucy Levene'!F13=$B13)*ISNUMBER('Lucy Levene'!G13)*('Lucy Levene'!G13&lt;DayEnd)*('Lucy Levene'!G13+VisitHrs/24&gt;DayStart)+('Tom Bock'!B13=$B13)*ISNUMBER('Tom Bock'!C13)*('Tom Bock'!C13&lt;DayEnd)*('Tom Bock'!C13+VisitHrs/24&gt;DayStart)+('Tom Bock'!D13=$B13)*ISNUMBER('Tom Bock'!E13)*('Tom Bock'!E13&lt;DayEnd)*('Tom Bock'!E13+VisitHrs/24&gt;DayStart)+('Tom Bock'!F13=$B13)*ISNUMBER('Tom Bock'!G13)*('Tom Bock'!G13&lt;DayEnd)*('Tom Bock'!G13+VisitHrs/24&gt;DayStart)+(Jeremy!B13=$B13)*ISNUMBER(Jeremy!C13)*(Jeremy!C13&lt;DayEnd)*(Jeremy!C13+VisitHrs/24&gt;DayStart)+(Jeremy!D13=$B13)*ISNUMBER(Jeremy!E13)*(Jeremy!E13&lt;DayEnd)*(Jeremy!E13+VisitHrs/24&gt;DayStart)+(Jeremy!F13=$B13)*ISNUMBER(Jeremy!G13)*(Jeremy!G13&lt;DayEnd)*(Jeremy!G13+VisitHrs/24&gt;DayStart)+('Test Patient'!B13=$B13)*ISNUMBER('Test Patient'!C13)*('Test Patient'!C13&lt;DayEnd)*('Test Patient'!C13+VisitHrs/24&gt;DayStart)+('Test Patient'!D13=$B13)*ISNUMBER('Test Patient'!E13)*('Test Patient'!E13&lt;DayEnd)*('Test Patient'!E13+VisitHrs/24&gt;DayStart)+('Test Patient'!F13=$B13)*ISNUMBER('Test Patient'!G13)*('Test Patient'!G13&lt;DayEnd)*('Test Patient'!G13+VisitHrs/24&gt;DayStart))+((('Anita Klesch'!$B13=$B13)+('Test Patient 2'!$B13=$B13))-1)+($C13=$B13)*($B13&lt;&gt;"")&gt;=1,1,0),0)</f>
        <v>0</v>
      </c>
      <c r="K13" s="12">
        <f>IF(AND($H13=1,$C13&lt;&gt;""),IF((('Lucy Levene'!B13=$C13)*ISNUMBER('Lucy Levene'!C13)*((('Lucy Levene'!C13+VisitHrs/24&gt;DayEnd)+('Lucy Levene'!C13&lt;DayStart))&gt;0)+('Lucy Levene'!D13=$C13)*ISNUMBER('Lucy Levene'!E13)*((('Lucy Levene'!E13+VisitHrs/24&gt;DayEnd)+('Lucy Levene'!E13&lt;DayStart))&gt;0)+('Lucy Levene'!F13=$C13)*ISNUMBER('Lucy Levene'!G13)*((('Lucy Levene'!G13+VisitHrs/24&gt;DayEnd)+('Lucy Levene'!G13&lt;DayStart))&gt;0)+('Tom Bock'!B13=$C13)*ISNUMBER('Tom Bock'!C13)*((('Tom Bock'!C13+VisitHrs/24&gt;DayEnd)+('Tom Bock'!C13&lt;DayStart))&gt;0)+('Tom Bock'!D13=$C13)*ISNUMBER('Tom Bock'!E13)*((('Tom Bock'!E13+VisitHrs/24&gt;DayEnd)+('Tom Bock'!E13&lt;DayStart))&gt;0)+('Tom Bock'!F13=$C13)*ISNUMBER('Tom Bock'!G13)*((('Tom Bock'!G13+VisitHrs/24&gt;DayEnd)+('Tom Bock'!G13&lt;DayStart))&gt;0)+(Jeremy!B13=$C13)*ISNUMBER(Jeremy!C13)*(((Jeremy!C13+VisitHrs/24&gt;DayEnd)+(Jeremy!C13&lt;DayStart))&gt;0)+(Jeremy!D13=$C13)*ISNUMBER(Jeremy!E13)*(((Jeremy!E13+VisitHrs/24&gt;DayEnd)+(Jeremy!E13&lt;DayStart))&gt;0)+(Jeremy!F13=$C13)*ISNUMBER(Jeremy!G13)*(((Jeremy!G13+VisitHrs/24&gt;DayEnd)+(Jeremy!G13&lt;DayStart))&gt;0)+('Test Patient'!B13=$C13)*ISNUMBER('Test Patient'!C13)*((('Test Patient'!C13+VisitHrs/24&gt;DayEnd)+('Test Patient'!C13&lt;DayStart))&gt;0)+('Test Patient'!D13=$C13)*ISNUMBER('Test Patient'!E13)*((('Test Patient'!E13+VisitHrs/24&gt;DayEnd)+('Test Patient'!E13&lt;DayStart))&gt;0)+('Test Patient'!F13=$C13)*ISNUMBER('Test Patient'!G13)*((('Test Patient'!G13+VisitHrs/24&gt;DayEnd)+('Test Patient'!G13&lt;DayStart))&gt;0))+((('Anita Klesch'!$C13=$C13)+('Test Patient 2'!$C13=$C13))-1)+($B13=$C13)*($C13&lt;&gt;"")&gt;=1,1,0),0)</f>
        <v>0</v>
      </c>
      <c r="L13" s="12"/>
      <c r="M13" s="12" t="str">
        <f t="shared" si="1"/>
        <v>Naresh</v>
      </c>
      <c r="N13" s="12" t="str">
        <f t="shared" si="2"/>
        <v>Maica</v>
      </c>
    </row>
    <row r="14" spans="1:14" x14ac:dyDescent="0.2">
      <c r="A14" s="2">
        <f t="shared" si="3"/>
        <v>46220</v>
      </c>
      <c r="B14" s="3" t="s">
        <v>18</v>
      </c>
      <c r="C14" s="3" t="s">
        <v>20</v>
      </c>
      <c r="H14" s="12">
        <f t="shared" si="0"/>
        <v>1</v>
      </c>
      <c r="I14" s="12"/>
      <c r="J14" s="12">
        <f>IF(AND($H14=1,$B14&lt;&gt;""),IF((('Lucy Levene'!B14=$B14)*ISNUMBER('Lucy Levene'!C14)*('Lucy Levene'!C14&lt;DayEnd)*('Lucy Levene'!C14+VisitHrs/24&gt;DayStart)+('Lucy Levene'!D14=$B14)*ISNUMBER('Lucy Levene'!E14)*('Lucy Levene'!E14&lt;DayEnd)*('Lucy Levene'!E14+VisitHrs/24&gt;DayStart)+('Lucy Levene'!F14=$B14)*ISNUMBER('Lucy Levene'!G14)*('Lucy Levene'!G14&lt;DayEnd)*('Lucy Levene'!G14+VisitHrs/24&gt;DayStart)+('Tom Bock'!B14=$B14)*ISNUMBER('Tom Bock'!C14)*('Tom Bock'!C14&lt;DayEnd)*('Tom Bock'!C14+VisitHrs/24&gt;DayStart)+('Tom Bock'!D14=$B14)*ISNUMBER('Tom Bock'!E14)*('Tom Bock'!E14&lt;DayEnd)*('Tom Bock'!E14+VisitHrs/24&gt;DayStart)+('Tom Bock'!F14=$B14)*ISNUMBER('Tom Bock'!G14)*('Tom Bock'!G14&lt;DayEnd)*('Tom Bock'!G14+VisitHrs/24&gt;DayStart)+(Jeremy!B14=$B14)*ISNUMBER(Jeremy!C14)*(Jeremy!C14&lt;DayEnd)*(Jeremy!C14+VisitHrs/24&gt;DayStart)+(Jeremy!D14=$B14)*ISNUMBER(Jeremy!E14)*(Jeremy!E14&lt;DayEnd)*(Jeremy!E14+VisitHrs/24&gt;DayStart)+(Jeremy!F14=$B14)*ISNUMBER(Jeremy!G14)*(Jeremy!G14&lt;DayEnd)*(Jeremy!G14+VisitHrs/24&gt;DayStart)+('Test Patient'!B14=$B14)*ISNUMBER('Test Patient'!C14)*('Test Patient'!C14&lt;DayEnd)*('Test Patient'!C14+VisitHrs/24&gt;DayStart)+('Test Patient'!D14=$B14)*ISNUMBER('Test Patient'!E14)*('Test Patient'!E14&lt;DayEnd)*('Test Patient'!E14+VisitHrs/24&gt;DayStart)+('Test Patient'!F14=$B14)*ISNUMBER('Test Patient'!G14)*('Test Patient'!G14&lt;DayEnd)*('Test Patient'!G14+VisitHrs/24&gt;DayStart))+((('Anita Klesch'!$B14=$B14)+('Test Patient 2'!$B14=$B14))-1)+($C14=$B14)*($B14&lt;&gt;"")&gt;=1,1,0),0)</f>
        <v>0</v>
      </c>
      <c r="K14" s="12">
        <f>IF(AND($H14=1,$C14&lt;&gt;""),IF((('Lucy Levene'!B14=$C14)*ISNUMBER('Lucy Levene'!C14)*((('Lucy Levene'!C14+VisitHrs/24&gt;DayEnd)+('Lucy Levene'!C14&lt;DayStart))&gt;0)+('Lucy Levene'!D14=$C14)*ISNUMBER('Lucy Levene'!E14)*((('Lucy Levene'!E14+VisitHrs/24&gt;DayEnd)+('Lucy Levene'!E14&lt;DayStart))&gt;0)+('Lucy Levene'!F14=$C14)*ISNUMBER('Lucy Levene'!G14)*((('Lucy Levene'!G14+VisitHrs/24&gt;DayEnd)+('Lucy Levene'!G14&lt;DayStart))&gt;0)+('Tom Bock'!B14=$C14)*ISNUMBER('Tom Bock'!C14)*((('Tom Bock'!C14+VisitHrs/24&gt;DayEnd)+('Tom Bock'!C14&lt;DayStart))&gt;0)+('Tom Bock'!D14=$C14)*ISNUMBER('Tom Bock'!E14)*((('Tom Bock'!E14+VisitHrs/24&gt;DayEnd)+('Tom Bock'!E14&lt;DayStart))&gt;0)+('Tom Bock'!F14=$C14)*ISNUMBER('Tom Bock'!G14)*((('Tom Bock'!G14+VisitHrs/24&gt;DayEnd)+('Tom Bock'!G14&lt;DayStart))&gt;0)+(Jeremy!B14=$C14)*ISNUMBER(Jeremy!C14)*(((Jeremy!C14+VisitHrs/24&gt;DayEnd)+(Jeremy!C14&lt;DayStart))&gt;0)+(Jeremy!D14=$C14)*ISNUMBER(Jeremy!E14)*(((Jeremy!E14+VisitHrs/24&gt;DayEnd)+(Jeremy!E14&lt;DayStart))&gt;0)+(Jeremy!F14=$C14)*ISNUMBER(Jeremy!G14)*(((Jeremy!G14+VisitHrs/24&gt;DayEnd)+(Jeremy!G14&lt;DayStart))&gt;0)+('Test Patient'!B14=$C14)*ISNUMBER('Test Patient'!C14)*((('Test Patient'!C14+VisitHrs/24&gt;DayEnd)+('Test Patient'!C14&lt;DayStart))&gt;0)+('Test Patient'!D14=$C14)*ISNUMBER('Test Patient'!E14)*((('Test Patient'!E14+VisitHrs/24&gt;DayEnd)+('Test Patient'!E14&lt;DayStart))&gt;0)+('Test Patient'!F14=$C14)*ISNUMBER('Test Patient'!G14)*((('Test Patient'!G14+VisitHrs/24&gt;DayEnd)+('Test Patient'!G14&lt;DayStart))&gt;0))+((('Anita Klesch'!$C14=$C14)+('Test Patient 2'!$C14=$C14))-1)+($B14=$C14)*($C14&lt;&gt;"")&gt;=1,1,0),0)</f>
        <v>0</v>
      </c>
      <c r="L14" s="12"/>
      <c r="M14" s="12" t="str">
        <f t="shared" si="1"/>
        <v>Veronica</v>
      </c>
      <c r="N14" s="12" t="str">
        <f t="shared" si="2"/>
        <v>Maica</v>
      </c>
    </row>
    <row r="15" spans="1:14" x14ac:dyDescent="0.2">
      <c r="A15" s="2">
        <f t="shared" si="3"/>
        <v>46221</v>
      </c>
      <c r="B15" s="3" t="s">
        <v>18</v>
      </c>
      <c r="C15" s="3" t="s">
        <v>15</v>
      </c>
      <c r="H15" s="12">
        <f t="shared" si="0"/>
        <v>1</v>
      </c>
      <c r="I15" s="12"/>
      <c r="J15" s="12">
        <f>IF(AND($H15=1,$B15&lt;&gt;""),IF((('Lucy Levene'!B15=$B15)*ISNUMBER('Lucy Levene'!C15)*('Lucy Levene'!C15&lt;DayEnd)*('Lucy Levene'!C15+VisitHrs/24&gt;DayStart)+('Lucy Levene'!D15=$B15)*ISNUMBER('Lucy Levene'!E15)*('Lucy Levene'!E15&lt;DayEnd)*('Lucy Levene'!E15+VisitHrs/24&gt;DayStart)+('Lucy Levene'!F15=$B15)*ISNUMBER('Lucy Levene'!G15)*('Lucy Levene'!G15&lt;DayEnd)*('Lucy Levene'!G15+VisitHrs/24&gt;DayStart)+('Tom Bock'!B15=$B15)*ISNUMBER('Tom Bock'!C15)*('Tom Bock'!C15&lt;DayEnd)*('Tom Bock'!C15+VisitHrs/24&gt;DayStart)+('Tom Bock'!D15=$B15)*ISNUMBER('Tom Bock'!E15)*('Tom Bock'!E15&lt;DayEnd)*('Tom Bock'!E15+VisitHrs/24&gt;DayStart)+('Tom Bock'!F15=$B15)*ISNUMBER('Tom Bock'!G15)*('Tom Bock'!G15&lt;DayEnd)*('Tom Bock'!G15+VisitHrs/24&gt;DayStart)+(Jeremy!B15=$B15)*ISNUMBER(Jeremy!C15)*(Jeremy!C15&lt;DayEnd)*(Jeremy!C15+VisitHrs/24&gt;DayStart)+(Jeremy!D15=$B15)*ISNUMBER(Jeremy!E15)*(Jeremy!E15&lt;DayEnd)*(Jeremy!E15+VisitHrs/24&gt;DayStart)+(Jeremy!F15=$B15)*ISNUMBER(Jeremy!G15)*(Jeremy!G15&lt;DayEnd)*(Jeremy!G15+VisitHrs/24&gt;DayStart)+('Test Patient'!B15=$B15)*ISNUMBER('Test Patient'!C15)*('Test Patient'!C15&lt;DayEnd)*('Test Patient'!C15+VisitHrs/24&gt;DayStart)+('Test Patient'!D15=$B15)*ISNUMBER('Test Patient'!E15)*('Test Patient'!E15&lt;DayEnd)*('Test Patient'!E15+VisitHrs/24&gt;DayStart)+('Test Patient'!F15=$B15)*ISNUMBER('Test Patient'!G15)*('Test Patient'!G15&lt;DayEnd)*('Test Patient'!G15+VisitHrs/24&gt;DayStart))+((('Anita Klesch'!$B15=$B15)+('Test Patient 2'!$B15=$B15))-1)+($C15=$B15)*($B15&lt;&gt;"")&gt;=1,1,0),0)</f>
        <v>0</v>
      </c>
      <c r="K15" s="12">
        <f>IF(AND($H15=1,$C15&lt;&gt;""),IF((('Lucy Levene'!B15=$C15)*ISNUMBER('Lucy Levene'!C15)*((('Lucy Levene'!C15+VisitHrs/24&gt;DayEnd)+('Lucy Levene'!C15&lt;DayStart))&gt;0)+('Lucy Levene'!D15=$C15)*ISNUMBER('Lucy Levene'!E15)*((('Lucy Levene'!E15+VisitHrs/24&gt;DayEnd)+('Lucy Levene'!E15&lt;DayStart))&gt;0)+('Lucy Levene'!F15=$C15)*ISNUMBER('Lucy Levene'!G15)*((('Lucy Levene'!G15+VisitHrs/24&gt;DayEnd)+('Lucy Levene'!G15&lt;DayStart))&gt;0)+('Tom Bock'!B15=$C15)*ISNUMBER('Tom Bock'!C15)*((('Tom Bock'!C15+VisitHrs/24&gt;DayEnd)+('Tom Bock'!C15&lt;DayStart))&gt;0)+('Tom Bock'!D15=$C15)*ISNUMBER('Tom Bock'!E15)*((('Tom Bock'!E15+VisitHrs/24&gt;DayEnd)+('Tom Bock'!E15&lt;DayStart))&gt;0)+('Tom Bock'!F15=$C15)*ISNUMBER('Tom Bock'!G15)*((('Tom Bock'!G15+VisitHrs/24&gt;DayEnd)+('Tom Bock'!G15&lt;DayStart))&gt;0)+(Jeremy!B15=$C15)*ISNUMBER(Jeremy!C15)*(((Jeremy!C15+VisitHrs/24&gt;DayEnd)+(Jeremy!C15&lt;DayStart))&gt;0)+(Jeremy!D15=$C15)*ISNUMBER(Jeremy!E15)*(((Jeremy!E15+VisitHrs/24&gt;DayEnd)+(Jeremy!E15&lt;DayStart))&gt;0)+(Jeremy!F15=$C15)*ISNUMBER(Jeremy!G15)*(((Jeremy!G15+VisitHrs/24&gt;DayEnd)+(Jeremy!G15&lt;DayStart))&gt;0)+('Test Patient'!B15=$C15)*ISNUMBER('Test Patient'!C15)*((('Test Patient'!C15+VisitHrs/24&gt;DayEnd)+('Test Patient'!C15&lt;DayStart))&gt;0)+('Test Patient'!D15=$C15)*ISNUMBER('Test Patient'!E15)*((('Test Patient'!E15+VisitHrs/24&gt;DayEnd)+('Test Patient'!E15&lt;DayStart))&gt;0)+('Test Patient'!F15=$C15)*ISNUMBER('Test Patient'!G15)*((('Test Patient'!G15+VisitHrs/24&gt;DayEnd)+('Test Patient'!G15&lt;DayStart))&gt;0))+((('Anita Klesch'!$C15=$C15)+('Test Patient 2'!$C15=$C15))-1)+($B15=$C15)*($C15&lt;&gt;"")&gt;=1,1,0),0)</f>
        <v>0</v>
      </c>
      <c r="L15" s="12"/>
      <c r="M15" s="12" t="str">
        <f t="shared" si="1"/>
        <v>Veronica</v>
      </c>
      <c r="N15" s="12" t="str">
        <f t="shared" si="2"/>
        <v>Naresh</v>
      </c>
    </row>
    <row r="16" spans="1:14" x14ac:dyDescent="0.2">
      <c r="A16" s="2">
        <f t="shared" si="3"/>
        <v>46222</v>
      </c>
      <c r="B16" s="3" t="s">
        <v>15</v>
      </c>
      <c r="C16" s="3" t="s">
        <v>19</v>
      </c>
      <c r="H16" s="12">
        <f t="shared" si="0"/>
        <v>1</v>
      </c>
      <c r="I16" s="12"/>
      <c r="J16" s="12">
        <f>IF(AND($H16=1,$B16&lt;&gt;""),IF((('Lucy Levene'!B16=$B16)*ISNUMBER('Lucy Levene'!C16)*('Lucy Levene'!C16&lt;DayEnd)*('Lucy Levene'!C16+VisitHrs/24&gt;DayStart)+('Lucy Levene'!D16=$B16)*ISNUMBER('Lucy Levene'!E16)*('Lucy Levene'!E16&lt;DayEnd)*('Lucy Levene'!E16+VisitHrs/24&gt;DayStart)+('Lucy Levene'!F16=$B16)*ISNUMBER('Lucy Levene'!G16)*('Lucy Levene'!G16&lt;DayEnd)*('Lucy Levene'!G16+VisitHrs/24&gt;DayStart)+('Tom Bock'!B16=$B16)*ISNUMBER('Tom Bock'!C16)*('Tom Bock'!C16&lt;DayEnd)*('Tom Bock'!C16+VisitHrs/24&gt;DayStart)+('Tom Bock'!D16=$B16)*ISNUMBER('Tom Bock'!E16)*('Tom Bock'!E16&lt;DayEnd)*('Tom Bock'!E16+VisitHrs/24&gt;DayStart)+('Tom Bock'!F16=$B16)*ISNUMBER('Tom Bock'!G16)*('Tom Bock'!G16&lt;DayEnd)*('Tom Bock'!G16+VisitHrs/24&gt;DayStart)+(Jeremy!B16=$B16)*ISNUMBER(Jeremy!C16)*(Jeremy!C16&lt;DayEnd)*(Jeremy!C16+VisitHrs/24&gt;DayStart)+(Jeremy!D16=$B16)*ISNUMBER(Jeremy!E16)*(Jeremy!E16&lt;DayEnd)*(Jeremy!E16+VisitHrs/24&gt;DayStart)+(Jeremy!F16=$B16)*ISNUMBER(Jeremy!G16)*(Jeremy!G16&lt;DayEnd)*(Jeremy!G16+VisitHrs/24&gt;DayStart)+('Test Patient'!B16=$B16)*ISNUMBER('Test Patient'!C16)*('Test Patient'!C16&lt;DayEnd)*('Test Patient'!C16+VisitHrs/24&gt;DayStart)+('Test Patient'!D16=$B16)*ISNUMBER('Test Patient'!E16)*('Test Patient'!E16&lt;DayEnd)*('Test Patient'!E16+VisitHrs/24&gt;DayStart)+('Test Patient'!F16=$B16)*ISNUMBER('Test Patient'!G16)*('Test Patient'!G16&lt;DayEnd)*('Test Patient'!G16+VisitHrs/24&gt;DayStart))+((('Anita Klesch'!$B16=$B16)+('Test Patient 2'!$B16=$B16))-1)+($C16=$B16)*($B16&lt;&gt;"")&gt;=1,1,0),0)</f>
        <v>0</v>
      </c>
      <c r="K16" s="12">
        <f>IF(AND($H16=1,$C16&lt;&gt;""),IF((('Lucy Levene'!B16=$C16)*ISNUMBER('Lucy Levene'!C16)*((('Lucy Levene'!C16+VisitHrs/24&gt;DayEnd)+('Lucy Levene'!C16&lt;DayStart))&gt;0)+('Lucy Levene'!D16=$C16)*ISNUMBER('Lucy Levene'!E16)*((('Lucy Levene'!E16+VisitHrs/24&gt;DayEnd)+('Lucy Levene'!E16&lt;DayStart))&gt;0)+('Lucy Levene'!F16=$C16)*ISNUMBER('Lucy Levene'!G16)*((('Lucy Levene'!G16+VisitHrs/24&gt;DayEnd)+('Lucy Levene'!G16&lt;DayStart))&gt;0)+('Tom Bock'!B16=$C16)*ISNUMBER('Tom Bock'!C16)*((('Tom Bock'!C16+VisitHrs/24&gt;DayEnd)+('Tom Bock'!C16&lt;DayStart))&gt;0)+('Tom Bock'!D16=$C16)*ISNUMBER('Tom Bock'!E16)*((('Tom Bock'!E16+VisitHrs/24&gt;DayEnd)+('Tom Bock'!E16&lt;DayStart))&gt;0)+('Tom Bock'!F16=$C16)*ISNUMBER('Tom Bock'!G16)*((('Tom Bock'!G16+VisitHrs/24&gt;DayEnd)+('Tom Bock'!G16&lt;DayStart))&gt;0)+(Jeremy!B16=$C16)*ISNUMBER(Jeremy!C16)*(((Jeremy!C16+VisitHrs/24&gt;DayEnd)+(Jeremy!C16&lt;DayStart))&gt;0)+(Jeremy!D16=$C16)*ISNUMBER(Jeremy!E16)*(((Jeremy!E16+VisitHrs/24&gt;DayEnd)+(Jeremy!E16&lt;DayStart))&gt;0)+(Jeremy!F16=$C16)*ISNUMBER(Jeremy!G16)*(((Jeremy!G16+VisitHrs/24&gt;DayEnd)+(Jeremy!G16&lt;DayStart))&gt;0)+('Test Patient'!B16=$C16)*ISNUMBER('Test Patient'!C16)*((('Test Patient'!C16+VisitHrs/24&gt;DayEnd)+('Test Patient'!C16&lt;DayStart))&gt;0)+('Test Patient'!D16=$C16)*ISNUMBER('Test Patient'!E16)*((('Test Patient'!E16+VisitHrs/24&gt;DayEnd)+('Test Patient'!E16&lt;DayStart))&gt;0)+('Test Patient'!F16=$C16)*ISNUMBER('Test Patient'!G16)*((('Test Patient'!G16+VisitHrs/24&gt;DayEnd)+('Test Patient'!G16&lt;DayStart))&gt;0))+((('Anita Klesch'!$C16=$C16)+('Test Patient 2'!$C16=$C16))-1)+($B16=$C16)*($C16&lt;&gt;"")&gt;=1,1,0),0)</f>
        <v>0</v>
      </c>
      <c r="L16" s="12"/>
      <c r="M16" s="12" t="str">
        <f t="shared" si="1"/>
        <v>Naresh</v>
      </c>
      <c r="N16" s="12" t="str">
        <f t="shared" si="2"/>
        <v>Ruth</v>
      </c>
    </row>
    <row r="17" spans="1:14" x14ac:dyDescent="0.2">
      <c r="A17" s="2">
        <f t="shared" si="3"/>
        <v>46223</v>
      </c>
      <c r="B17" s="3" t="s">
        <v>89</v>
      </c>
      <c r="C17" s="3" t="s">
        <v>20</v>
      </c>
      <c r="H17" s="12">
        <f t="shared" si="0"/>
        <v>1</v>
      </c>
      <c r="I17" s="12"/>
      <c r="J17" s="12">
        <f>IF(AND($H17=1,$B17&lt;&gt;""),IF((('Lucy Levene'!B17=$B17)*ISNUMBER('Lucy Levene'!C17)*('Lucy Levene'!C17&lt;DayEnd)*('Lucy Levene'!C17+VisitHrs/24&gt;DayStart)+('Lucy Levene'!D17=$B17)*ISNUMBER('Lucy Levene'!E17)*('Lucy Levene'!E17&lt;DayEnd)*('Lucy Levene'!E17+VisitHrs/24&gt;DayStart)+('Lucy Levene'!F17=$B17)*ISNUMBER('Lucy Levene'!G17)*('Lucy Levene'!G17&lt;DayEnd)*('Lucy Levene'!G17+VisitHrs/24&gt;DayStart)+('Tom Bock'!B17=$B17)*ISNUMBER('Tom Bock'!C17)*('Tom Bock'!C17&lt;DayEnd)*('Tom Bock'!C17+VisitHrs/24&gt;DayStart)+('Tom Bock'!D17=$B17)*ISNUMBER('Tom Bock'!E17)*('Tom Bock'!E17&lt;DayEnd)*('Tom Bock'!E17+VisitHrs/24&gt;DayStart)+('Tom Bock'!F17=$B17)*ISNUMBER('Tom Bock'!G17)*('Tom Bock'!G17&lt;DayEnd)*('Tom Bock'!G17+VisitHrs/24&gt;DayStart)+(Jeremy!B17=$B17)*ISNUMBER(Jeremy!C17)*(Jeremy!C17&lt;DayEnd)*(Jeremy!C17+VisitHrs/24&gt;DayStart)+(Jeremy!D17=$B17)*ISNUMBER(Jeremy!E17)*(Jeremy!E17&lt;DayEnd)*(Jeremy!E17+VisitHrs/24&gt;DayStart)+(Jeremy!F17=$B17)*ISNUMBER(Jeremy!G17)*(Jeremy!G17&lt;DayEnd)*(Jeremy!G17+VisitHrs/24&gt;DayStart)+('Test Patient'!B17=$B17)*ISNUMBER('Test Patient'!C17)*('Test Patient'!C17&lt;DayEnd)*('Test Patient'!C17+VisitHrs/24&gt;DayStart)+('Test Patient'!D17=$B17)*ISNUMBER('Test Patient'!E17)*('Test Patient'!E17&lt;DayEnd)*('Test Patient'!E17+VisitHrs/24&gt;DayStart)+('Test Patient'!F17=$B17)*ISNUMBER('Test Patient'!G17)*('Test Patient'!G17&lt;DayEnd)*('Test Patient'!G17+VisitHrs/24&gt;DayStart))+((('Anita Klesch'!$B17=$B17)+('Test Patient 2'!$B17=$B17))-1)+($C17=$B17)*($B17&lt;&gt;"")&gt;=1,1,0),0)</f>
        <v>0</v>
      </c>
      <c r="K17" s="12">
        <f>IF(AND($H17=1,$C17&lt;&gt;""),IF((('Lucy Levene'!B17=$C17)*ISNUMBER('Lucy Levene'!C17)*((('Lucy Levene'!C17+VisitHrs/24&gt;DayEnd)+('Lucy Levene'!C17&lt;DayStart))&gt;0)+('Lucy Levene'!D17=$C17)*ISNUMBER('Lucy Levene'!E17)*((('Lucy Levene'!E17+VisitHrs/24&gt;DayEnd)+('Lucy Levene'!E17&lt;DayStart))&gt;0)+('Lucy Levene'!F17=$C17)*ISNUMBER('Lucy Levene'!G17)*((('Lucy Levene'!G17+VisitHrs/24&gt;DayEnd)+('Lucy Levene'!G17&lt;DayStart))&gt;0)+('Tom Bock'!B17=$C17)*ISNUMBER('Tom Bock'!C17)*((('Tom Bock'!C17+VisitHrs/24&gt;DayEnd)+('Tom Bock'!C17&lt;DayStart))&gt;0)+('Tom Bock'!D17=$C17)*ISNUMBER('Tom Bock'!E17)*((('Tom Bock'!E17+VisitHrs/24&gt;DayEnd)+('Tom Bock'!E17&lt;DayStart))&gt;0)+('Tom Bock'!F17=$C17)*ISNUMBER('Tom Bock'!G17)*((('Tom Bock'!G17+VisitHrs/24&gt;DayEnd)+('Tom Bock'!G17&lt;DayStart))&gt;0)+(Jeremy!B17=$C17)*ISNUMBER(Jeremy!C17)*(((Jeremy!C17+VisitHrs/24&gt;DayEnd)+(Jeremy!C17&lt;DayStart))&gt;0)+(Jeremy!D17=$C17)*ISNUMBER(Jeremy!E17)*(((Jeremy!E17+VisitHrs/24&gt;DayEnd)+(Jeremy!E17&lt;DayStart))&gt;0)+(Jeremy!F17=$C17)*ISNUMBER(Jeremy!G17)*(((Jeremy!G17+VisitHrs/24&gt;DayEnd)+(Jeremy!G17&lt;DayStart))&gt;0)+('Test Patient'!B17=$C17)*ISNUMBER('Test Patient'!C17)*((('Test Patient'!C17+VisitHrs/24&gt;DayEnd)+('Test Patient'!C17&lt;DayStart))&gt;0)+('Test Patient'!D17=$C17)*ISNUMBER('Test Patient'!E17)*((('Test Patient'!E17+VisitHrs/24&gt;DayEnd)+('Test Patient'!E17&lt;DayStart))&gt;0)+('Test Patient'!F17=$C17)*ISNUMBER('Test Patient'!G17)*((('Test Patient'!G17+VisitHrs/24&gt;DayEnd)+('Test Patient'!G17&lt;DayStart))&gt;0))+((('Anita Klesch'!$C17=$C17)+('Test Patient 2'!$C17=$C17))-1)+($B17=$C17)*($C17&lt;&gt;"")&gt;=1,1,0),0)</f>
        <v>0</v>
      </c>
      <c r="L17" s="12"/>
      <c r="M17" s="12" t="str">
        <f t="shared" si="1"/>
        <v>Joriza</v>
      </c>
      <c r="N17" s="12" t="str">
        <f t="shared" si="2"/>
        <v>Maica</v>
      </c>
    </row>
    <row r="18" spans="1:14" x14ac:dyDescent="0.2">
      <c r="A18" s="2">
        <f t="shared" si="3"/>
        <v>46224</v>
      </c>
      <c r="B18" s="76"/>
      <c r="C18" s="77"/>
      <c r="H18" s="12">
        <f t="shared" si="0"/>
        <v>1</v>
      </c>
      <c r="I18" s="12"/>
      <c r="J18" s="12">
        <f>IF(AND($H18=1,$B18&lt;&gt;""),IF((('Lucy Levene'!B18=$B18)*ISNUMBER('Lucy Levene'!C18)*('Lucy Levene'!C18&lt;DayEnd)*('Lucy Levene'!C18+VisitHrs/24&gt;DayStart)+('Lucy Levene'!D18=$B18)*ISNUMBER('Lucy Levene'!E18)*('Lucy Levene'!E18&lt;DayEnd)*('Lucy Levene'!E18+VisitHrs/24&gt;DayStart)+('Lucy Levene'!F18=$B18)*ISNUMBER('Lucy Levene'!G18)*('Lucy Levene'!G18&lt;DayEnd)*('Lucy Levene'!G18+VisitHrs/24&gt;DayStart)+('Tom Bock'!B18=$B18)*ISNUMBER('Tom Bock'!C18)*('Tom Bock'!C18&lt;DayEnd)*('Tom Bock'!C18+VisitHrs/24&gt;DayStart)+('Tom Bock'!D18=$B18)*ISNUMBER('Tom Bock'!E18)*('Tom Bock'!E18&lt;DayEnd)*('Tom Bock'!E18+VisitHrs/24&gt;DayStart)+('Tom Bock'!F18=$B18)*ISNUMBER('Tom Bock'!G18)*('Tom Bock'!G18&lt;DayEnd)*('Tom Bock'!G18+VisitHrs/24&gt;DayStart)+(Jeremy!B18=$B18)*ISNUMBER(Jeremy!C18)*(Jeremy!C18&lt;DayEnd)*(Jeremy!C18+VisitHrs/24&gt;DayStart)+(Jeremy!D18=$B18)*ISNUMBER(Jeremy!E18)*(Jeremy!E18&lt;DayEnd)*(Jeremy!E18+VisitHrs/24&gt;DayStart)+(Jeremy!F18=$B18)*ISNUMBER(Jeremy!G18)*(Jeremy!G18&lt;DayEnd)*(Jeremy!G18+VisitHrs/24&gt;DayStart)+('Test Patient'!B18=$B18)*ISNUMBER('Test Patient'!C18)*('Test Patient'!C18&lt;DayEnd)*('Test Patient'!C18+VisitHrs/24&gt;DayStart)+('Test Patient'!D18=$B18)*ISNUMBER('Test Patient'!E18)*('Test Patient'!E18&lt;DayEnd)*('Test Patient'!E18+VisitHrs/24&gt;DayStart)+('Test Patient'!F18=$B18)*ISNUMBER('Test Patient'!G18)*('Test Patient'!G18&lt;DayEnd)*('Test Patient'!G18+VisitHrs/24&gt;DayStart))+((('Anita Klesch'!$B18=$B18)+('Test Patient 2'!$B18=$B18))-1)+($C18=$B18)*($B18&lt;&gt;"")&gt;=1,1,0),0)</f>
        <v>0</v>
      </c>
      <c r="K18" s="12">
        <f>IF(AND($H18=1,$C18&lt;&gt;""),IF((('Lucy Levene'!B18=$C18)*ISNUMBER('Lucy Levene'!C18)*((('Lucy Levene'!C18+VisitHrs/24&gt;DayEnd)+('Lucy Levene'!C18&lt;DayStart))&gt;0)+('Lucy Levene'!D18=$C18)*ISNUMBER('Lucy Levene'!E18)*((('Lucy Levene'!E18+VisitHrs/24&gt;DayEnd)+('Lucy Levene'!E18&lt;DayStart))&gt;0)+('Lucy Levene'!F18=$C18)*ISNUMBER('Lucy Levene'!G18)*((('Lucy Levene'!G18+VisitHrs/24&gt;DayEnd)+('Lucy Levene'!G18&lt;DayStart))&gt;0)+('Tom Bock'!B18=$C18)*ISNUMBER('Tom Bock'!C18)*((('Tom Bock'!C18+VisitHrs/24&gt;DayEnd)+('Tom Bock'!C18&lt;DayStart))&gt;0)+('Tom Bock'!D18=$C18)*ISNUMBER('Tom Bock'!E18)*((('Tom Bock'!E18+VisitHrs/24&gt;DayEnd)+('Tom Bock'!E18&lt;DayStart))&gt;0)+('Tom Bock'!F18=$C18)*ISNUMBER('Tom Bock'!G18)*((('Tom Bock'!G18+VisitHrs/24&gt;DayEnd)+('Tom Bock'!G18&lt;DayStart))&gt;0)+(Jeremy!B18=$C18)*ISNUMBER(Jeremy!C18)*(((Jeremy!C18+VisitHrs/24&gt;DayEnd)+(Jeremy!C18&lt;DayStart))&gt;0)+(Jeremy!D18=$C18)*ISNUMBER(Jeremy!E18)*(((Jeremy!E18+VisitHrs/24&gt;DayEnd)+(Jeremy!E18&lt;DayStart))&gt;0)+(Jeremy!F18=$C18)*ISNUMBER(Jeremy!G18)*(((Jeremy!G18+VisitHrs/24&gt;DayEnd)+(Jeremy!G18&lt;DayStart))&gt;0)+('Test Patient'!B18=$C18)*ISNUMBER('Test Patient'!C18)*((('Test Patient'!C18+VisitHrs/24&gt;DayEnd)+('Test Patient'!C18&lt;DayStart))&gt;0)+('Test Patient'!D18=$C18)*ISNUMBER('Test Patient'!E18)*((('Test Patient'!E18+VisitHrs/24&gt;DayEnd)+('Test Patient'!E18&lt;DayStart))&gt;0)+('Test Patient'!F18=$C18)*ISNUMBER('Test Patient'!G18)*((('Test Patient'!G18+VisitHrs/24&gt;DayEnd)+('Test Patient'!G18&lt;DayStart))&gt;0))+((('Anita Klesch'!$C18=$C18)+('Test Patient 2'!$C18=$C18))-1)+($B18=$C18)*($C18&lt;&gt;"")&gt;=1,1,0),0)</f>
        <v>0</v>
      </c>
      <c r="L18" s="12"/>
      <c r="M18" s="12">
        <f t="shared" si="1"/>
        <v>0</v>
      </c>
      <c r="N18" s="12">
        <f t="shared" si="2"/>
        <v>0</v>
      </c>
    </row>
    <row r="19" spans="1:14" x14ac:dyDescent="0.2">
      <c r="A19" s="2">
        <f t="shared" si="3"/>
        <v>46225</v>
      </c>
      <c r="B19" s="78"/>
      <c r="C19" s="79"/>
      <c r="H19" s="12">
        <f t="shared" si="0"/>
        <v>1</v>
      </c>
      <c r="I19" s="12"/>
      <c r="J19" s="12">
        <f>IF(AND($H19=1,$B19&lt;&gt;""),IF((('Lucy Levene'!B19=$B19)*ISNUMBER('Lucy Levene'!C19)*('Lucy Levene'!C19&lt;DayEnd)*('Lucy Levene'!C19+VisitHrs/24&gt;DayStart)+('Lucy Levene'!D19=$B19)*ISNUMBER('Lucy Levene'!E19)*('Lucy Levene'!E19&lt;DayEnd)*('Lucy Levene'!E19+VisitHrs/24&gt;DayStart)+('Lucy Levene'!F19=$B19)*ISNUMBER('Lucy Levene'!G19)*('Lucy Levene'!G19&lt;DayEnd)*('Lucy Levene'!G19+VisitHrs/24&gt;DayStart)+('Tom Bock'!B19=$B19)*ISNUMBER('Tom Bock'!C19)*('Tom Bock'!C19&lt;DayEnd)*('Tom Bock'!C19+VisitHrs/24&gt;DayStart)+('Tom Bock'!D19=$B19)*ISNUMBER('Tom Bock'!E19)*('Tom Bock'!E19&lt;DayEnd)*('Tom Bock'!E19+VisitHrs/24&gt;DayStart)+('Tom Bock'!F19=$B19)*ISNUMBER('Tom Bock'!G19)*('Tom Bock'!G19&lt;DayEnd)*('Tom Bock'!G19+VisitHrs/24&gt;DayStart)+(Jeremy!B19=$B19)*ISNUMBER(Jeremy!C19)*(Jeremy!C19&lt;DayEnd)*(Jeremy!C19+VisitHrs/24&gt;DayStart)+(Jeremy!D19=$B19)*ISNUMBER(Jeremy!E19)*(Jeremy!E19&lt;DayEnd)*(Jeremy!E19+VisitHrs/24&gt;DayStart)+(Jeremy!F19=$B19)*ISNUMBER(Jeremy!G19)*(Jeremy!G19&lt;DayEnd)*(Jeremy!G19+VisitHrs/24&gt;DayStart)+('Test Patient'!B19=$B19)*ISNUMBER('Test Patient'!C19)*('Test Patient'!C19&lt;DayEnd)*('Test Patient'!C19+VisitHrs/24&gt;DayStart)+('Test Patient'!D19=$B19)*ISNUMBER('Test Patient'!E19)*('Test Patient'!E19&lt;DayEnd)*('Test Patient'!E19+VisitHrs/24&gt;DayStart)+('Test Patient'!F19=$B19)*ISNUMBER('Test Patient'!G19)*('Test Patient'!G19&lt;DayEnd)*('Test Patient'!G19+VisitHrs/24&gt;DayStart))+((('Anita Klesch'!$B19=$B19)+('Test Patient 2'!$B19=$B19))-1)+($C19=$B19)*($B19&lt;&gt;"")&gt;=1,1,0),0)</f>
        <v>0</v>
      </c>
      <c r="K19" s="12">
        <f>IF(AND($H19=1,$C19&lt;&gt;""),IF((('Lucy Levene'!B19=$C19)*ISNUMBER('Lucy Levene'!C19)*((('Lucy Levene'!C19+VisitHrs/24&gt;DayEnd)+('Lucy Levene'!C19&lt;DayStart))&gt;0)+('Lucy Levene'!D19=$C19)*ISNUMBER('Lucy Levene'!E19)*((('Lucy Levene'!E19+VisitHrs/24&gt;DayEnd)+('Lucy Levene'!E19&lt;DayStart))&gt;0)+('Lucy Levene'!F19=$C19)*ISNUMBER('Lucy Levene'!G19)*((('Lucy Levene'!G19+VisitHrs/24&gt;DayEnd)+('Lucy Levene'!G19&lt;DayStart))&gt;0)+('Tom Bock'!B19=$C19)*ISNUMBER('Tom Bock'!C19)*((('Tom Bock'!C19+VisitHrs/24&gt;DayEnd)+('Tom Bock'!C19&lt;DayStart))&gt;0)+('Tom Bock'!D19=$C19)*ISNUMBER('Tom Bock'!E19)*((('Tom Bock'!E19+VisitHrs/24&gt;DayEnd)+('Tom Bock'!E19&lt;DayStart))&gt;0)+('Tom Bock'!F19=$C19)*ISNUMBER('Tom Bock'!G19)*((('Tom Bock'!G19+VisitHrs/24&gt;DayEnd)+('Tom Bock'!G19&lt;DayStart))&gt;0)+(Jeremy!B19=$C19)*ISNUMBER(Jeremy!C19)*(((Jeremy!C19+VisitHrs/24&gt;DayEnd)+(Jeremy!C19&lt;DayStart))&gt;0)+(Jeremy!D19=$C19)*ISNUMBER(Jeremy!E19)*(((Jeremy!E19+VisitHrs/24&gt;DayEnd)+(Jeremy!E19&lt;DayStart))&gt;0)+(Jeremy!F19=$C19)*ISNUMBER(Jeremy!G19)*(((Jeremy!G19+VisitHrs/24&gt;DayEnd)+(Jeremy!G19&lt;DayStart))&gt;0)+('Test Patient'!B19=$C19)*ISNUMBER('Test Patient'!C19)*((('Test Patient'!C19+VisitHrs/24&gt;DayEnd)+('Test Patient'!C19&lt;DayStart))&gt;0)+('Test Patient'!D19=$C19)*ISNUMBER('Test Patient'!E19)*((('Test Patient'!E19+VisitHrs/24&gt;DayEnd)+('Test Patient'!E19&lt;DayStart))&gt;0)+('Test Patient'!F19=$C19)*ISNUMBER('Test Patient'!G19)*((('Test Patient'!G19+VisitHrs/24&gt;DayEnd)+('Test Patient'!G19&lt;DayStart))&gt;0))+((('Anita Klesch'!$C19=$C19)+('Test Patient 2'!$C19=$C19))-1)+($B19=$C19)*($C19&lt;&gt;"")&gt;=1,1,0),0)</f>
        <v>0</v>
      </c>
      <c r="L19" s="12"/>
      <c r="M19" s="12">
        <f t="shared" si="1"/>
        <v>0</v>
      </c>
      <c r="N19" s="12">
        <f t="shared" si="2"/>
        <v>0</v>
      </c>
    </row>
    <row r="20" spans="1:14" x14ac:dyDescent="0.2">
      <c r="A20" s="2">
        <f t="shared" si="3"/>
        <v>46226</v>
      </c>
      <c r="B20" s="78"/>
      <c r="C20" s="79"/>
      <c r="H20" s="12">
        <f t="shared" si="0"/>
        <v>0</v>
      </c>
      <c r="I20" s="12"/>
      <c r="J20" s="12">
        <f>IF(AND($H20=1,$B20&lt;&gt;""),IF((('Lucy Levene'!B20=$B20)*ISNUMBER('Lucy Levene'!C20)*('Lucy Levene'!C20&lt;DayEnd)*('Lucy Levene'!C20+VisitHrs/24&gt;DayStart)+('Lucy Levene'!D20=$B20)*ISNUMBER('Lucy Levene'!E20)*('Lucy Levene'!E20&lt;DayEnd)*('Lucy Levene'!E20+VisitHrs/24&gt;DayStart)+('Lucy Levene'!F20=$B20)*ISNUMBER('Lucy Levene'!G20)*('Lucy Levene'!G20&lt;DayEnd)*('Lucy Levene'!G20+VisitHrs/24&gt;DayStart)+('Tom Bock'!B20=$B20)*ISNUMBER('Tom Bock'!C20)*('Tom Bock'!C20&lt;DayEnd)*('Tom Bock'!C20+VisitHrs/24&gt;DayStart)+('Tom Bock'!D20=$B20)*ISNUMBER('Tom Bock'!E20)*('Tom Bock'!E20&lt;DayEnd)*('Tom Bock'!E20+VisitHrs/24&gt;DayStart)+('Tom Bock'!F20=$B20)*ISNUMBER('Tom Bock'!G20)*('Tom Bock'!G20&lt;DayEnd)*('Tom Bock'!G20+VisitHrs/24&gt;DayStart)+(Jeremy!B20=$B20)*ISNUMBER(Jeremy!C20)*(Jeremy!C20&lt;DayEnd)*(Jeremy!C20+VisitHrs/24&gt;DayStart)+(Jeremy!D20=$B20)*ISNUMBER(Jeremy!E20)*(Jeremy!E20&lt;DayEnd)*(Jeremy!E20+VisitHrs/24&gt;DayStart)+(Jeremy!F20=$B20)*ISNUMBER(Jeremy!G20)*(Jeremy!G20&lt;DayEnd)*(Jeremy!G20+VisitHrs/24&gt;DayStart)+('Test Patient'!B20=$B20)*ISNUMBER('Test Patient'!C20)*('Test Patient'!C20&lt;DayEnd)*('Test Patient'!C20+VisitHrs/24&gt;DayStart)+('Test Patient'!D20=$B20)*ISNUMBER('Test Patient'!E20)*('Test Patient'!E20&lt;DayEnd)*('Test Patient'!E20+VisitHrs/24&gt;DayStart)+('Test Patient'!F20=$B20)*ISNUMBER('Test Patient'!G20)*('Test Patient'!G20&lt;DayEnd)*('Test Patient'!G20+VisitHrs/24&gt;DayStart))+((('Anita Klesch'!$B20=$B20)+('Test Patient 2'!$B20=$B20))-1)+($C20=$B20)*($B20&lt;&gt;"")&gt;=1,1,0),0)</f>
        <v>0</v>
      </c>
      <c r="K20" s="12">
        <f>IF(AND($H20=1,$C20&lt;&gt;""),IF((('Lucy Levene'!B20=$C20)*ISNUMBER('Lucy Levene'!C20)*((('Lucy Levene'!C20+VisitHrs/24&gt;DayEnd)+('Lucy Levene'!C20&lt;DayStart))&gt;0)+('Lucy Levene'!D20=$C20)*ISNUMBER('Lucy Levene'!E20)*((('Lucy Levene'!E20+VisitHrs/24&gt;DayEnd)+('Lucy Levene'!E20&lt;DayStart))&gt;0)+('Lucy Levene'!F20=$C20)*ISNUMBER('Lucy Levene'!G20)*((('Lucy Levene'!G20+VisitHrs/24&gt;DayEnd)+('Lucy Levene'!G20&lt;DayStart))&gt;0)+('Tom Bock'!B20=$C20)*ISNUMBER('Tom Bock'!C20)*((('Tom Bock'!C20+VisitHrs/24&gt;DayEnd)+('Tom Bock'!C20&lt;DayStart))&gt;0)+('Tom Bock'!D20=$C20)*ISNUMBER('Tom Bock'!E20)*((('Tom Bock'!E20+VisitHrs/24&gt;DayEnd)+('Tom Bock'!E20&lt;DayStart))&gt;0)+('Tom Bock'!F20=$C20)*ISNUMBER('Tom Bock'!G20)*((('Tom Bock'!G20+VisitHrs/24&gt;DayEnd)+('Tom Bock'!G20&lt;DayStart))&gt;0)+(Jeremy!B20=$C20)*ISNUMBER(Jeremy!C20)*(((Jeremy!C20+VisitHrs/24&gt;DayEnd)+(Jeremy!C20&lt;DayStart))&gt;0)+(Jeremy!D20=$C20)*ISNUMBER(Jeremy!E20)*(((Jeremy!E20+VisitHrs/24&gt;DayEnd)+(Jeremy!E20&lt;DayStart))&gt;0)+(Jeremy!F20=$C20)*ISNUMBER(Jeremy!G20)*(((Jeremy!G20+VisitHrs/24&gt;DayEnd)+(Jeremy!G20&lt;DayStart))&gt;0)+('Test Patient'!B20=$C20)*ISNUMBER('Test Patient'!C20)*((('Test Patient'!C20+VisitHrs/24&gt;DayEnd)+('Test Patient'!C20&lt;DayStart))&gt;0)+('Test Patient'!D20=$C20)*ISNUMBER('Test Patient'!E20)*((('Test Patient'!E20+VisitHrs/24&gt;DayEnd)+('Test Patient'!E20&lt;DayStart))&gt;0)+('Test Patient'!F20=$C20)*ISNUMBER('Test Patient'!G20)*((('Test Patient'!G20+VisitHrs/24&gt;DayEnd)+('Test Patient'!G20&lt;DayStart))&gt;0))+((('Anita Klesch'!$C20=$C20)+('Test Patient 2'!$C20=$C20))-1)+($B20=$C20)*($C20&lt;&gt;"")&gt;=1,1,0),0)</f>
        <v>0</v>
      </c>
      <c r="L20" s="12"/>
      <c r="M20" s="12" t="str">
        <f t="shared" si="1"/>
        <v/>
      </c>
      <c r="N20" s="12" t="str">
        <f t="shared" si="2"/>
        <v/>
      </c>
    </row>
    <row r="21" spans="1:14" x14ac:dyDescent="0.2">
      <c r="A21" s="2">
        <f t="shared" si="3"/>
        <v>46227</v>
      </c>
      <c r="B21" s="78"/>
      <c r="C21" s="79"/>
      <c r="H21" s="12">
        <f t="shared" si="0"/>
        <v>0</v>
      </c>
      <c r="I21" s="12"/>
      <c r="J21" s="12">
        <f>IF(AND($H21=1,$B21&lt;&gt;""),IF((('Lucy Levene'!B21=$B21)*ISNUMBER('Lucy Levene'!C21)*('Lucy Levene'!C21&lt;DayEnd)*('Lucy Levene'!C21+VisitHrs/24&gt;DayStart)+('Lucy Levene'!D21=$B21)*ISNUMBER('Lucy Levene'!E21)*('Lucy Levene'!E21&lt;DayEnd)*('Lucy Levene'!E21+VisitHrs/24&gt;DayStart)+('Lucy Levene'!F21=$B21)*ISNUMBER('Lucy Levene'!G21)*('Lucy Levene'!G21&lt;DayEnd)*('Lucy Levene'!G21+VisitHrs/24&gt;DayStart)+('Tom Bock'!B21=$B21)*ISNUMBER('Tom Bock'!C21)*('Tom Bock'!C21&lt;DayEnd)*('Tom Bock'!C21+VisitHrs/24&gt;DayStart)+('Tom Bock'!D21=$B21)*ISNUMBER('Tom Bock'!E21)*('Tom Bock'!E21&lt;DayEnd)*('Tom Bock'!E21+VisitHrs/24&gt;DayStart)+('Tom Bock'!F21=$B21)*ISNUMBER('Tom Bock'!G21)*('Tom Bock'!G21&lt;DayEnd)*('Tom Bock'!G21+VisitHrs/24&gt;DayStart)+(Jeremy!B21=$B21)*ISNUMBER(Jeremy!C21)*(Jeremy!C21&lt;DayEnd)*(Jeremy!C21+VisitHrs/24&gt;DayStart)+(Jeremy!D21=$B21)*ISNUMBER(Jeremy!E21)*(Jeremy!E21&lt;DayEnd)*(Jeremy!E21+VisitHrs/24&gt;DayStart)+(Jeremy!F21=$B21)*ISNUMBER(Jeremy!G21)*(Jeremy!G21&lt;DayEnd)*(Jeremy!G21+VisitHrs/24&gt;DayStart)+('Test Patient'!B21=$B21)*ISNUMBER('Test Patient'!C21)*('Test Patient'!C21&lt;DayEnd)*('Test Patient'!C21+VisitHrs/24&gt;DayStart)+('Test Patient'!D21=$B21)*ISNUMBER('Test Patient'!E21)*('Test Patient'!E21&lt;DayEnd)*('Test Patient'!E21+VisitHrs/24&gt;DayStart)+('Test Patient'!F21=$B21)*ISNUMBER('Test Patient'!G21)*('Test Patient'!G21&lt;DayEnd)*('Test Patient'!G21+VisitHrs/24&gt;DayStart))+((('Anita Klesch'!$B21=$B21)+('Test Patient 2'!$B21=$B21))-1)+($C21=$B21)*($B21&lt;&gt;"")&gt;=1,1,0),0)</f>
        <v>0</v>
      </c>
      <c r="K21" s="12">
        <f>IF(AND($H21=1,$C21&lt;&gt;""),IF((('Lucy Levene'!B21=$C21)*ISNUMBER('Lucy Levene'!C21)*((('Lucy Levene'!C21+VisitHrs/24&gt;DayEnd)+('Lucy Levene'!C21&lt;DayStart))&gt;0)+('Lucy Levene'!D21=$C21)*ISNUMBER('Lucy Levene'!E21)*((('Lucy Levene'!E21+VisitHrs/24&gt;DayEnd)+('Lucy Levene'!E21&lt;DayStart))&gt;0)+('Lucy Levene'!F21=$C21)*ISNUMBER('Lucy Levene'!G21)*((('Lucy Levene'!G21+VisitHrs/24&gt;DayEnd)+('Lucy Levene'!G21&lt;DayStart))&gt;0)+('Tom Bock'!B21=$C21)*ISNUMBER('Tom Bock'!C21)*((('Tom Bock'!C21+VisitHrs/24&gt;DayEnd)+('Tom Bock'!C21&lt;DayStart))&gt;0)+('Tom Bock'!D21=$C21)*ISNUMBER('Tom Bock'!E21)*((('Tom Bock'!E21+VisitHrs/24&gt;DayEnd)+('Tom Bock'!E21&lt;DayStart))&gt;0)+('Tom Bock'!F21=$C21)*ISNUMBER('Tom Bock'!G21)*((('Tom Bock'!G21+VisitHrs/24&gt;DayEnd)+('Tom Bock'!G21&lt;DayStart))&gt;0)+(Jeremy!B21=$C21)*ISNUMBER(Jeremy!C21)*(((Jeremy!C21+VisitHrs/24&gt;DayEnd)+(Jeremy!C21&lt;DayStart))&gt;0)+(Jeremy!D21=$C21)*ISNUMBER(Jeremy!E21)*(((Jeremy!E21+VisitHrs/24&gt;DayEnd)+(Jeremy!E21&lt;DayStart))&gt;0)+(Jeremy!F21=$C21)*ISNUMBER(Jeremy!G21)*(((Jeremy!G21+VisitHrs/24&gt;DayEnd)+(Jeremy!G21&lt;DayStart))&gt;0)+('Test Patient'!B21=$C21)*ISNUMBER('Test Patient'!C21)*((('Test Patient'!C21+VisitHrs/24&gt;DayEnd)+('Test Patient'!C21&lt;DayStart))&gt;0)+('Test Patient'!D21=$C21)*ISNUMBER('Test Patient'!E21)*((('Test Patient'!E21+VisitHrs/24&gt;DayEnd)+('Test Patient'!E21&lt;DayStart))&gt;0)+('Test Patient'!F21=$C21)*ISNUMBER('Test Patient'!G21)*((('Test Patient'!G21+VisitHrs/24&gt;DayEnd)+('Test Patient'!G21&lt;DayStart))&gt;0))+((('Anita Klesch'!$C21=$C21)+('Test Patient 2'!$C21=$C21))-1)+($B21=$C21)*($C21&lt;&gt;"")&gt;=1,1,0),0)</f>
        <v>0</v>
      </c>
      <c r="L21" s="12"/>
      <c r="M21" s="12" t="str">
        <f t="shared" si="1"/>
        <v/>
      </c>
      <c r="N21" s="12" t="str">
        <f t="shared" si="2"/>
        <v/>
      </c>
    </row>
    <row r="22" spans="1:14" x14ac:dyDescent="0.2">
      <c r="A22" s="2">
        <f t="shared" si="3"/>
        <v>46228</v>
      </c>
      <c r="B22" s="78"/>
      <c r="C22" s="79"/>
      <c r="H22" s="12">
        <f t="shared" si="0"/>
        <v>0</v>
      </c>
      <c r="I22" s="12"/>
      <c r="J22" s="12">
        <f>IF(AND($H22=1,$B22&lt;&gt;""),IF((('Lucy Levene'!B22=$B22)*ISNUMBER('Lucy Levene'!C22)*('Lucy Levene'!C22&lt;DayEnd)*('Lucy Levene'!C22+VisitHrs/24&gt;DayStart)+('Lucy Levene'!D22=$B22)*ISNUMBER('Lucy Levene'!E22)*('Lucy Levene'!E22&lt;DayEnd)*('Lucy Levene'!E22+VisitHrs/24&gt;DayStart)+('Lucy Levene'!F22=$B22)*ISNUMBER('Lucy Levene'!G22)*('Lucy Levene'!G22&lt;DayEnd)*('Lucy Levene'!G22+VisitHrs/24&gt;DayStart)+('Tom Bock'!B22=$B22)*ISNUMBER('Tom Bock'!C22)*('Tom Bock'!C22&lt;DayEnd)*('Tom Bock'!C22+VisitHrs/24&gt;DayStart)+('Tom Bock'!D22=$B22)*ISNUMBER('Tom Bock'!E22)*('Tom Bock'!E22&lt;DayEnd)*('Tom Bock'!E22+VisitHrs/24&gt;DayStart)+('Tom Bock'!F22=$B22)*ISNUMBER('Tom Bock'!G22)*('Tom Bock'!G22&lt;DayEnd)*('Tom Bock'!G22+VisitHrs/24&gt;DayStart)+(Jeremy!B22=$B22)*ISNUMBER(Jeremy!C22)*(Jeremy!C22&lt;DayEnd)*(Jeremy!C22+VisitHrs/24&gt;DayStart)+(Jeremy!D22=$B22)*ISNUMBER(Jeremy!E22)*(Jeremy!E22&lt;DayEnd)*(Jeremy!E22+VisitHrs/24&gt;DayStart)+(Jeremy!F22=$B22)*ISNUMBER(Jeremy!G22)*(Jeremy!G22&lt;DayEnd)*(Jeremy!G22+VisitHrs/24&gt;DayStart)+('Test Patient'!B22=$B22)*ISNUMBER('Test Patient'!C22)*('Test Patient'!C22&lt;DayEnd)*('Test Patient'!C22+VisitHrs/24&gt;DayStart)+('Test Patient'!D22=$B22)*ISNUMBER('Test Patient'!E22)*('Test Patient'!E22&lt;DayEnd)*('Test Patient'!E22+VisitHrs/24&gt;DayStart)+('Test Patient'!F22=$B22)*ISNUMBER('Test Patient'!G22)*('Test Patient'!G22&lt;DayEnd)*('Test Patient'!G22+VisitHrs/24&gt;DayStart))+((('Anita Klesch'!$B22=$B22)+('Test Patient 2'!$B22=$B22))-1)+($C22=$B22)*($B22&lt;&gt;"")&gt;=1,1,0),0)</f>
        <v>0</v>
      </c>
      <c r="K22" s="12">
        <f>IF(AND($H22=1,$C22&lt;&gt;""),IF((('Lucy Levene'!B22=$C22)*ISNUMBER('Lucy Levene'!C22)*((('Lucy Levene'!C22+VisitHrs/24&gt;DayEnd)+('Lucy Levene'!C22&lt;DayStart))&gt;0)+('Lucy Levene'!D22=$C22)*ISNUMBER('Lucy Levene'!E22)*((('Lucy Levene'!E22+VisitHrs/24&gt;DayEnd)+('Lucy Levene'!E22&lt;DayStart))&gt;0)+('Lucy Levene'!F22=$C22)*ISNUMBER('Lucy Levene'!G22)*((('Lucy Levene'!G22+VisitHrs/24&gt;DayEnd)+('Lucy Levene'!G22&lt;DayStart))&gt;0)+('Tom Bock'!B22=$C22)*ISNUMBER('Tom Bock'!C22)*((('Tom Bock'!C22+VisitHrs/24&gt;DayEnd)+('Tom Bock'!C22&lt;DayStart))&gt;0)+('Tom Bock'!D22=$C22)*ISNUMBER('Tom Bock'!E22)*((('Tom Bock'!E22+VisitHrs/24&gt;DayEnd)+('Tom Bock'!E22&lt;DayStart))&gt;0)+('Tom Bock'!F22=$C22)*ISNUMBER('Tom Bock'!G22)*((('Tom Bock'!G22+VisitHrs/24&gt;DayEnd)+('Tom Bock'!G22&lt;DayStart))&gt;0)+(Jeremy!B22=$C22)*ISNUMBER(Jeremy!C22)*(((Jeremy!C22+VisitHrs/24&gt;DayEnd)+(Jeremy!C22&lt;DayStart))&gt;0)+(Jeremy!D22=$C22)*ISNUMBER(Jeremy!E22)*(((Jeremy!E22+VisitHrs/24&gt;DayEnd)+(Jeremy!E22&lt;DayStart))&gt;0)+(Jeremy!F22=$C22)*ISNUMBER(Jeremy!G22)*(((Jeremy!G22+VisitHrs/24&gt;DayEnd)+(Jeremy!G22&lt;DayStart))&gt;0)+('Test Patient'!B22=$C22)*ISNUMBER('Test Patient'!C22)*((('Test Patient'!C22+VisitHrs/24&gt;DayEnd)+('Test Patient'!C22&lt;DayStart))&gt;0)+('Test Patient'!D22=$C22)*ISNUMBER('Test Patient'!E22)*((('Test Patient'!E22+VisitHrs/24&gt;DayEnd)+('Test Patient'!E22&lt;DayStart))&gt;0)+('Test Patient'!F22=$C22)*ISNUMBER('Test Patient'!G22)*((('Test Patient'!G22+VisitHrs/24&gt;DayEnd)+('Test Patient'!G22&lt;DayStart))&gt;0))+((('Anita Klesch'!$C22=$C22)+('Test Patient 2'!$C22=$C22))-1)+($B22=$C22)*($C22&lt;&gt;"")&gt;=1,1,0),0)</f>
        <v>0</v>
      </c>
      <c r="L22" s="12"/>
      <c r="M22" s="12" t="str">
        <f t="shared" si="1"/>
        <v/>
      </c>
      <c r="N22" s="12" t="str">
        <f t="shared" si="2"/>
        <v/>
      </c>
    </row>
    <row r="23" spans="1:14" x14ac:dyDescent="0.2">
      <c r="A23" s="2">
        <f t="shared" si="3"/>
        <v>46229</v>
      </c>
      <c r="B23" s="78"/>
      <c r="C23" s="79"/>
      <c r="H23" s="12">
        <f t="shared" si="0"/>
        <v>0</v>
      </c>
      <c r="I23" s="12"/>
      <c r="J23" s="12">
        <f>IF(AND($H23=1,$B23&lt;&gt;""),IF((('Lucy Levene'!B23=$B23)*ISNUMBER('Lucy Levene'!C23)*('Lucy Levene'!C23&lt;DayEnd)*('Lucy Levene'!C23+VisitHrs/24&gt;DayStart)+('Lucy Levene'!D23=$B23)*ISNUMBER('Lucy Levene'!E23)*('Lucy Levene'!E23&lt;DayEnd)*('Lucy Levene'!E23+VisitHrs/24&gt;DayStart)+('Lucy Levene'!F23=$B23)*ISNUMBER('Lucy Levene'!G23)*('Lucy Levene'!G23&lt;DayEnd)*('Lucy Levene'!G23+VisitHrs/24&gt;DayStart)+('Tom Bock'!B23=$B23)*ISNUMBER('Tom Bock'!C23)*('Tom Bock'!C23&lt;DayEnd)*('Tom Bock'!C23+VisitHrs/24&gt;DayStart)+('Tom Bock'!D23=$B23)*ISNUMBER('Tom Bock'!E23)*('Tom Bock'!E23&lt;DayEnd)*('Tom Bock'!E23+VisitHrs/24&gt;DayStart)+('Tom Bock'!F23=$B23)*ISNUMBER('Tom Bock'!G23)*('Tom Bock'!G23&lt;DayEnd)*('Tom Bock'!G23+VisitHrs/24&gt;DayStart)+(Jeremy!B23=$B23)*ISNUMBER(Jeremy!C23)*(Jeremy!C23&lt;DayEnd)*(Jeremy!C23+VisitHrs/24&gt;DayStart)+(Jeremy!D23=$B23)*ISNUMBER(Jeremy!E23)*(Jeremy!E23&lt;DayEnd)*(Jeremy!E23+VisitHrs/24&gt;DayStart)+(Jeremy!F23=$B23)*ISNUMBER(Jeremy!G23)*(Jeremy!G23&lt;DayEnd)*(Jeremy!G23+VisitHrs/24&gt;DayStart)+('Test Patient'!B23=$B23)*ISNUMBER('Test Patient'!C23)*('Test Patient'!C23&lt;DayEnd)*('Test Patient'!C23+VisitHrs/24&gt;DayStart)+('Test Patient'!D23=$B23)*ISNUMBER('Test Patient'!E23)*('Test Patient'!E23&lt;DayEnd)*('Test Patient'!E23+VisitHrs/24&gt;DayStart)+('Test Patient'!F23=$B23)*ISNUMBER('Test Patient'!G23)*('Test Patient'!G23&lt;DayEnd)*('Test Patient'!G23+VisitHrs/24&gt;DayStart))+((('Anita Klesch'!$B23=$B23)+('Test Patient 2'!$B23=$B23))-1)+($C23=$B23)*($B23&lt;&gt;"")&gt;=1,1,0),0)</f>
        <v>0</v>
      </c>
      <c r="K23" s="12">
        <f>IF(AND($H23=1,$C23&lt;&gt;""),IF((('Lucy Levene'!B23=$C23)*ISNUMBER('Lucy Levene'!C23)*((('Lucy Levene'!C23+VisitHrs/24&gt;DayEnd)+('Lucy Levene'!C23&lt;DayStart))&gt;0)+('Lucy Levene'!D23=$C23)*ISNUMBER('Lucy Levene'!E23)*((('Lucy Levene'!E23+VisitHrs/24&gt;DayEnd)+('Lucy Levene'!E23&lt;DayStart))&gt;0)+('Lucy Levene'!F23=$C23)*ISNUMBER('Lucy Levene'!G23)*((('Lucy Levene'!G23+VisitHrs/24&gt;DayEnd)+('Lucy Levene'!G23&lt;DayStart))&gt;0)+('Tom Bock'!B23=$C23)*ISNUMBER('Tom Bock'!C23)*((('Tom Bock'!C23+VisitHrs/24&gt;DayEnd)+('Tom Bock'!C23&lt;DayStart))&gt;0)+('Tom Bock'!D23=$C23)*ISNUMBER('Tom Bock'!E23)*((('Tom Bock'!E23+VisitHrs/24&gt;DayEnd)+('Tom Bock'!E23&lt;DayStart))&gt;0)+('Tom Bock'!F23=$C23)*ISNUMBER('Tom Bock'!G23)*((('Tom Bock'!G23+VisitHrs/24&gt;DayEnd)+('Tom Bock'!G23&lt;DayStart))&gt;0)+(Jeremy!B23=$C23)*ISNUMBER(Jeremy!C23)*(((Jeremy!C23+VisitHrs/24&gt;DayEnd)+(Jeremy!C23&lt;DayStart))&gt;0)+(Jeremy!D23=$C23)*ISNUMBER(Jeremy!E23)*(((Jeremy!E23+VisitHrs/24&gt;DayEnd)+(Jeremy!E23&lt;DayStart))&gt;0)+(Jeremy!F23=$C23)*ISNUMBER(Jeremy!G23)*(((Jeremy!G23+VisitHrs/24&gt;DayEnd)+(Jeremy!G23&lt;DayStart))&gt;0)+('Test Patient'!B23=$C23)*ISNUMBER('Test Patient'!C23)*((('Test Patient'!C23+VisitHrs/24&gt;DayEnd)+('Test Patient'!C23&lt;DayStart))&gt;0)+('Test Patient'!D23=$C23)*ISNUMBER('Test Patient'!E23)*((('Test Patient'!E23+VisitHrs/24&gt;DayEnd)+('Test Patient'!E23&lt;DayStart))&gt;0)+('Test Patient'!F23=$C23)*ISNUMBER('Test Patient'!G23)*((('Test Patient'!G23+VisitHrs/24&gt;DayEnd)+('Test Patient'!G23&lt;DayStart))&gt;0))+((('Anita Klesch'!$C23=$C23)+('Test Patient 2'!$C23=$C23))-1)+($B23=$C23)*($C23&lt;&gt;"")&gt;=1,1,0),0)</f>
        <v>0</v>
      </c>
      <c r="L23" s="12"/>
      <c r="M23" s="12" t="str">
        <f t="shared" si="1"/>
        <v/>
      </c>
      <c r="N23" s="12" t="str">
        <f t="shared" si="2"/>
        <v/>
      </c>
    </row>
    <row r="24" spans="1:14" x14ac:dyDescent="0.2">
      <c r="A24" s="2">
        <f t="shared" si="3"/>
        <v>46230</v>
      </c>
      <c r="B24" s="78"/>
      <c r="C24" s="79"/>
      <c r="H24" s="12">
        <f t="shared" si="0"/>
        <v>0</v>
      </c>
      <c r="I24" s="12"/>
      <c r="J24" s="12">
        <f>IF(AND($H24=1,$B24&lt;&gt;""),IF((('Lucy Levene'!B24=$B24)*ISNUMBER('Lucy Levene'!C24)*('Lucy Levene'!C24&lt;DayEnd)*('Lucy Levene'!C24+VisitHrs/24&gt;DayStart)+('Lucy Levene'!D24=$B24)*ISNUMBER('Lucy Levene'!E24)*('Lucy Levene'!E24&lt;DayEnd)*('Lucy Levene'!E24+VisitHrs/24&gt;DayStart)+('Lucy Levene'!F24=$B24)*ISNUMBER('Lucy Levene'!G24)*('Lucy Levene'!G24&lt;DayEnd)*('Lucy Levene'!G24+VisitHrs/24&gt;DayStart)+('Tom Bock'!B24=$B24)*ISNUMBER('Tom Bock'!C24)*('Tom Bock'!C24&lt;DayEnd)*('Tom Bock'!C24+VisitHrs/24&gt;DayStart)+('Tom Bock'!D24=$B24)*ISNUMBER('Tom Bock'!E24)*('Tom Bock'!E24&lt;DayEnd)*('Tom Bock'!E24+VisitHrs/24&gt;DayStart)+('Tom Bock'!F24=$B24)*ISNUMBER('Tom Bock'!G24)*('Tom Bock'!G24&lt;DayEnd)*('Tom Bock'!G24+VisitHrs/24&gt;DayStart)+(Jeremy!B24=$B24)*ISNUMBER(Jeremy!C24)*(Jeremy!C24&lt;DayEnd)*(Jeremy!C24+VisitHrs/24&gt;DayStart)+(Jeremy!D24=$B24)*ISNUMBER(Jeremy!E24)*(Jeremy!E24&lt;DayEnd)*(Jeremy!E24+VisitHrs/24&gt;DayStart)+(Jeremy!F24=$B24)*ISNUMBER(Jeremy!G24)*(Jeremy!G24&lt;DayEnd)*(Jeremy!G24+VisitHrs/24&gt;DayStart)+('Test Patient'!B24=$B24)*ISNUMBER('Test Patient'!C24)*('Test Patient'!C24&lt;DayEnd)*('Test Patient'!C24+VisitHrs/24&gt;DayStart)+('Test Patient'!D24=$B24)*ISNUMBER('Test Patient'!E24)*('Test Patient'!E24&lt;DayEnd)*('Test Patient'!E24+VisitHrs/24&gt;DayStart)+('Test Patient'!F24=$B24)*ISNUMBER('Test Patient'!G24)*('Test Patient'!G24&lt;DayEnd)*('Test Patient'!G24+VisitHrs/24&gt;DayStart))+((('Anita Klesch'!$B24=$B24)+('Test Patient 2'!$B24=$B24))-1)+($C24=$B24)*($B24&lt;&gt;"")&gt;=1,1,0),0)</f>
        <v>0</v>
      </c>
      <c r="K24" s="12">
        <f>IF(AND($H24=1,$C24&lt;&gt;""),IF((('Lucy Levene'!B24=$C24)*ISNUMBER('Lucy Levene'!C24)*((('Lucy Levene'!C24+VisitHrs/24&gt;DayEnd)+('Lucy Levene'!C24&lt;DayStart))&gt;0)+('Lucy Levene'!D24=$C24)*ISNUMBER('Lucy Levene'!E24)*((('Lucy Levene'!E24+VisitHrs/24&gt;DayEnd)+('Lucy Levene'!E24&lt;DayStart))&gt;0)+('Lucy Levene'!F24=$C24)*ISNUMBER('Lucy Levene'!G24)*((('Lucy Levene'!G24+VisitHrs/24&gt;DayEnd)+('Lucy Levene'!G24&lt;DayStart))&gt;0)+('Tom Bock'!B24=$C24)*ISNUMBER('Tom Bock'!C24)*((('Tom Bock'!C24+VisitHrs/24&gt;DayEnd)+('Tom Bock'!C24&lt;DayStart))&gt;0)+('Tom Bock'!D24=$C24)*ISNUMBER('Tom Bock'!E24)*((('Tom Bock'!E24+VisitHrs/24&gt;DayEnd)+('Tom Bock'!E24&lt;DayStart))&gt;0)+('Tom Bock'!F24=$C24)*ISNUMBER('Tom Bock'!G24)*((('Tom Bock'!G24+VisitHrs/24&gt;DayEnd)+('Tom Bock'!G24&lt;DayStart))&gt;0)+(Jeremy!B24=$C24)*ISNUMBER(Jeremy!C24)*(((Jeremy!C24+VisitHrs/24&gt;DayEnd)+(Jeremy!C24&lt;DayStart))&gt;0)+(Jeremy!D24=$C24)*ISNUMBER(Jeremy!E24)*(((Jeremy!E24+VisitHrs/24&gt;DayEnd)+(Jeremy!E24&lt;DayStart))&gt;0)+(Jeremy!F24=$C24)*ISNUMBER(Jeremy!G24)*(((Jeremy!G24+VisitHrs/24&gt;DayEnd)+(Jeremy!G24&lt;DayStart))&gt;0)+('Test Patient'!B24=$C24)*ISNUMBER('Test Patient'!C24)*((('Test Patient'!C24+VisitHrs/24&gt;DayEnd)+('Test Patient'!C24&lt;DayStart))&gt;0)+('Test Patient'!D24=$C24)*ISNUMBER('Test Patient'!E24)*((('Test Patient'!E24+VisitHrs/24&gt;DayEnd)+('Test Patient'!E24&lt;DayStart))&gt;0)+('Test Patient'!F24=$C24)*ISNUMBER('Test Patient'!G24)*((('Test Patient'!G24+VisitHrs/24&gt;DayEnd)+('Test Patient'!G24&lt;DayStart))&gt;0))+((('Anita Klesch'!$C24=$C24)+('Test Patient 2'!$C24=$C24))-1)+($B24=$C24)*($C24&lt;&gt;"")&gt;=1,1,0),0)</f>
        <v>0</v>
      </c>
      <c r="L24" s="12"/>
      <c r="M24" s="12" t="str">
        <f t="shared" si="1"/>
        <v/>
      </c>
      <c r="N24" s="12" t="str">
        <f t="shared" si="2"/>
        <v/>
      </c>
    </row>
    <row r="25" spans="1:14" x14ac:dyDescent="0.2">
      <c r="A25" s="2">
        <f t="shared" si="3"/>
        <v>46231</v>
      </c>
      <c r="B25" s="78"/>
      <c r="C25" s="79"/>
      <c r="H25" s="12">
        <f t="shared" si="0"/>
        <v>0</v>
      </c>
      <c r="I25" s="12"/>
      <c r="J25" s="12">
        <f>IF(AND($H25=1,$B25&lt;&gt;""),IF((('Lucy Levene'!B25=$B25)*ISNUMBER('Lucy Levene'!C25)*('Lucy Levene'!C25&lt;DayEnd)*('Lucy Levene'!C25+VisitHrs/24&gt;DayStart)+('Lucy Levene'!D25=$B25)*ISNUMBER('Lucy Levene'!E25)*('Lucy Levene'!E25&lt;DayEnd)*('Lucy Levene'!E25+VisitHrs/24&gt;DayStart)+('Lucy Levene'!F25=$B25)*ISNUMBER('Lucy Levene'!G25)*('Lucy Levene'!G25&lt;DayEnd)*('Lucy Levene'!G25+VisitHrs/24&gt;DayStart)+('Tom Bock'!B25=$B25)*ISNUMBER('Tom Bock'!C25)*('Tom Bock'!C25&lt;DayEnd)*('Tom Bock'!C25+VisitHrs/24&gt;DayStart)+('Tom Bock'!D25=$B25)*ISNUMBER('Tom Bock'!E25)*('Tom Bock'!E25&lt;DayEnd)*('Tom Bock'!E25+VisitHrs/24&gt;DayStart)+('Tom Bock'!F25=$B25)*ISNUMBER('Tom Bock'!G25)*('Tom Bock'!G25&lt;DayEnd)*('Tom Bock'!G25+VisitHrs/24&gt;DayStart)+(Jeremy!B25=$B25)*ISNUMBER(Jeremy!C25)*(Jeremy!C25&lt;DayEnd)*(Jeremy!C25+VisitHrs/24&gt;DayStart)+(Jeremy!D25=$B25)*ISNUMBER(Jeremy!E25)*(Jeremy!E25&lt;DayEnd)*(Jeremy!E25+VisitHrs/24&gt;DayStart)+(Jeremy!F25=$B25)*ISNUMBER(Jeremy!G25)*(Jeremy!G25&lt;DayEnd)*(Jeremy!G25+VisitHrs/24&gt;DayStart)+('Test Patient'!B25=$B25)*ISNUMBER('Test Patient'!C25)*('Test Patient'!C25&lt;DayEnd)*('Test Patient'!C25+VisitHrs/24&gt;DayStart)+('Test Patient'!D25=$B25)*ISNUMBER('Test Patient'!E25)*('Test Patient'!E25&lt;DayEnd)*('Test Patient'!E25+VisitHrs/24&gt;DayStart)+('Test Patient'!F25=$B25)*ISNUMBER('Test Patient'!G25)*('Test Patient'!G25&lt;DayEnd)*('Test Patient'!G25+VisitHrs/24&gt;DayStart))+((('Anita Klesch'!$B25=$B25)+('Test Patient 2'!$B25=$B25))-1)+($C25=$B25)*($B25&lt;&gt;"")&gt;=1,1,0),0)</f>
        <v>0</v>
      </c>
      <c r="K25" s="12">
        <f>IF(AND($H25=1,$C25&lt;&gt;""),IF((('Lucy Levene'!B25=$C25)*ISNUMBER('Lucy Levene'!C25)*((('Lucy Levene'!C25+VisitHrs/24&gt;DayEnd)+('Lucy Levene'!C25&lt;DayStart))&gt;0)+('Lucy Levene'!D25=$C25)*ISNUMBER('Lucy Levene'!E25)*((('Lucy Levene'!E25+VisitHrs/24&gt;DayEnd)+('Lucy Levene'!E25&lt;DayStart))&gt;0)+('Lucy Levene'!F25=$C25)*ISNUMBER('Lucy Levene'!G25)*((('Lucy Levene'!G25+VisitHrs/24&gt;DayEnd)+('Lucy Levene'!G25&lt;DayStart))&gt;0)+('Tom Bock'!B25=$C25)*ISNUMBER('Tom Bock'!C25)*((('Tom Bock'!C25+VisitHrs/24&gt;DayEnd)+('Tom Bock'!C25&lt;DayStart))&gt;0)+('Tom Bock'!D25=$C25)*ISNUMBER('Tom Bock'!E25)*((('Tom Bock'!E25+VisitHrs/24&gt;DayEnd)+('Tom Bock'!E25&lt;DayStart))&gt;0)+('Tom Bock'!F25=$C25)*ISNUMBER('Tom Bock'!G25)*((('Tom Bock'!G25+VisitHrs/24&gt;DayEnd)+('Tom Bock'!G25&lt;DayStart))&gt;0)+(Jeremy!B25=$C25)*ISNUMBER(Jeremy!C25)*(((Jeremy!C25+VisitHrs/24&gt;DayEnd)+(Jeremy!C25&lt;DayStart))&gt;0)+(Jeremy!D25=$C25)*ISNUMBER(Jeremy!E25)*(((Jeremy!E25+VisitHrs/24&gt;DayEnd)+(Jeremy!E25&lt;DayStart))&gt;0)+(Jeremy!F25=$C25)*ISNUMBER(Jeremy!G25)*(((Jeremy!G25+VisitHrs/24&gt;DayEnd)+(Jeremy!G25&lt;DayStart))&gt;0)+('Test Patient'!B25=$C25)*ISNUMBER('Test Patient'!C25)*((('Test Patient'!C25+VisitHrs/24&gt;DayEnd)+('Test Patient'!C25&lt;DayStart))&gt;0)+('Test Patient'!D25=$C25)*ISNUMBER('Test Patient'!E25)*((('Test Patient'!E25+VisitHrs/24&gt;DayEnd)+('Test Patient'!E25&lt;DayStart))&gt;0)+('Test Patient'!F25=$C25)*ISNUMBER('Test Patient'!G25)*((('Test Patient'!G25+VisitHrs/24&gt;DayEnd)+('Test Patient'!G25&lt;DayStart))&gt;0))+((('Anita Klesch'!$C25=$C25)+('Test Patient 2'!$C25=$C25))-1)+($B25=$C25)*($C25&lt;&gt;"")&gt;=1,1,0),0)</f>
        <v>0</v>
      </c>
      <c r="L25" s="12"/>
      <c r="M25" s="12" t="str">
        <f t="shared" si="1"/>
        <v/>
      </c>
      <c r="N25" s="12" t="str">
        <f t="shared" si="2"/>
        <v/>
      </c>
    </row>
    <row r="26" spans="1:14" x14ac:dyDescent="0.2">
      <c r="A26" s="2">
        <f t="shared" si="3"/>
        <v>46232</v>
      </c>
      <c r="B26" s="78"/>
      <c r="C26" s="79"/>
      <c r="H26" s="12">
        <f t="shared" si="0"/>
        <v>0</v>
      </c>
      <c r="I26" s="12"/>
      <c r="J26" s="12">
        <f>IF(AND($H26=1,$B26&lt;&gt;""),IF((('Lucy Levene'!B26=$B26)*ISNUMBER('Lucy Levene'!C26)*('Lucy Levene'!C26&lt;DayEnd)*('Lucy Levene'!C26+VisitHrs/24&gt;DayStart)+('Lucy Levene'!D26=$B26)*ISNUMBER('Lucy Levene'!E26)*('Lucy Levene'!E26&lt;DayEnd)*('Lucy Levene'!E26+VisitHrs/24&gt;DayStart)+('Lucy Levene'!F26=$B26)*ISNUMBER('Lucy Levene'!G26)*('Lucy Levene'!G26&lt;DayEnd)*('Lucy Levene'!G26+VisitHrs/24&gt;DayStart)+('Tom Bock'!B26=$B26)*ISNUMBER('Tom Bock'!C26)*('Tom Bock'!C26&lt;DayEnd)*('Tom Bock'!C26+VisitHrs/24&gt;DayStart)+('Tom Bock'!D26=$B26)*ISNUMBER('Tom Bock'!E26)*('Tom Bock'!E26&lt;DayEnd)*('Tom Bock'!E26+VisitHrs/24&gt;DayStart)+('Tom Bock'!F26=$B26)*ISNUMBER('Tom Bock'!G26)*('Tom Bock'!G26&lt;DayEnd)*('Tom Bock'!G26+VisitHrs/24&gt;DayStart)+(Jeremy!B26=$B26)*ISNUMBER(Jeremy!C26)*(Jeremy!C26&lt;DayEnd)*(Jeremy!C26+VisitHrs/24&gt;DayStart)+(Jeremy!D26=$B26)*ISNUMBER(Jeremy!E26)*(Jeremy!E26&lt;DayEnd)*(Jeremy!E26+VisitHrs/24&gt;DayStart)+(Jeremy!F26=$B26)*ISNUMBER(Jeremy!G26)*(Jeremy!G26&lt;DayEnd)*(Jeremy!G26+VisitHrs/24&gt;DayStart)+('Test Patient'!B26=$B26)*ISNUMBER('Test Patient'!C26)*('Test Patient'!C26&lt;DayEnd)*('Test Patient'!C26+VisitHrs/24&gt;DayStart)+('Test Patient'!D26=$B26)*ISNUMBER('Test Patient'!E26)*('Test Patient'!E26&lt;DayEnd)*('Test Patient'!E26+VisitHrs/24&gt;DayStart)+('Test Patient'!F26=$B26)*ISNUMBER('Test Patient'!G26)*('Test Patient'!G26&lt;DayEnd)*('Test Patient'!G26+VisitHrs/24&gt;DayStart))+((('Anita Klesch'!$B26=$B26)+('Test Patient 2'!$B26=$B26))-1)+($C26=$B26)*($B26&lt;&gt;"")&gt;=1,1,0),0)</f>
        <v>0</v>
      </c>
      <c r="K26" s="12">
        <f>IF(AND($H26=1,$C26&lt;&gt;""),IF((('Lucy Levene'!B26=$C26)*ISNUMBER('Lucy Levene'!C26)*((('Lucy Levene'!C26+VisitHrs/24&gt;DayEnd)+('Lucy Levene'!C26&lt;DayStart))&gt;0)+('Lucy Levene'!D26=$C26)*ISNUMBER('Lucy Levene'!E26)*((('Lucy Levene'!E26+VisitHrs/24&gt;DayEnd)+('Lucy Levene'!E26&lt;DayStart))&gt;0)+('Lucy Levene'!F26=$C26)*ISNUMBER('Lucy Levene'!G26)*((('Lucy Levene'!G26+VisitHrs/24&gt;DayEnd)+('Lucy Levene'!G26&lt;DayStart))&gt;0)+('Tom Bock'!B26=$C26)*ISNUMBER('Tom Bock'!C26)*((('Tom Bock'!C26+VisitHrs/24&gt;DayEnd)+('Tom Bock'!C26&lt;DayStart))&gt;0)+('Tom Bock'!D26=$C26)*ISNUMBER('Tom Bock'!E26)*((('Tom Bock'!E26+VisitHrs/24&gt;DayEnd)+('Tom Bock'!E26&lt;DayStart))&gt;0)+('Tom Bock'!F26=$C26)*ISNUMBER('Tom Bock'!G26)*((('Tom Bock'!G26+VisitHrs/24&gt;DayEnd)+('Tom Bock'!G26&lt;DayStart))&gt;0)+(Jeremy!B26=$C26)*ISNUMBER(Jeremy!C26)*(((Jeremy!C26+VisitHrs/24&gt;DayEnd)+(Jeremy!C26&lt;DayStart))&gt;0)+(Jeremy!D26=$C26)*ISNUMBER(Jeremy!E26)*(((Jeremy!E26+VisitHrs/24&gt;DayEnd)+(Jeremy!E26&lt;DayStart))&gt;0)+(Jeremy!F26=$C26)*ISNUMBER(Jeremy!G26)*(((Jeremy!G26+VisitHrs/24&gt;DayEnd)+(Jeremy!G26&lt;DayStart))&gt;0)+('Test Patient'!B26=$C26)*ISNUMBER('Test Patient'!C26)*((('Test Patient'!C26+VisitHrs/24&gt;DayEnd)+('Test Patient'!C26&lt;DayStart))&gt;0)+('Test Patient'!D26=$C26)*ISNUMBER('Test Patient'!E26)*((('Test Patient'!E26+VisitHrs/24&gt;DayEnd)+('Test Patient'!E26&lt;DayStart))&gt;0)+('Test Patient'!F26=$C26)*ISNUMBER('Test Patient'!G26)*((('Test Patient'!G26+VisitHrs/24&gt;DayEnd)+('Test Patient'!G26&lt;DayStart))&gt;0))+((('Anita Klesch'!$C26=$C26)+('Test Patient 2'!$C26=$C26))-1)+($B26=$C26)*($C26&lt;&gt;"")&gt;=1,1,0),0)</f>
        <v>0</v>
      </c>
      <c r="L26" s="12"/>
      <c r="M26" s="12" t="str">
        <f t="shared" si="1"/>
        <v/>
      </c>
      <c r="N26" s="12" t="str">
        <f t="shared" si="2"/>
        <v/>
      </c>
    </row>
    <row r="27" spans="1:14" x14ac:dyDescent="0.2">
      <c r="A27" s="2">
        <f t="shared" si="3"/>
        <v>46233</v>
      </c>
      <c r="B27" s="78"/>
      <c r="C27" s="79"/>
      <c r="H27" s="12">
        <f t="shared" si="0"/>
        <v>0</v>
      </c>
      <c r="I27" s="12"/>
      <c r="J27" s="12">
        <f>IF(AND($H27=1,$B27&lt;&gt;""),IF((('Lucy Levene'!B27=$B27)*ISNUMBER('Lucy Levene'!C27)*('Lucy Levene'!C27&lt;DayEnd)*('Lucy Levene'!C27+VisitHrs/24&gt;DayStart)+('Lucy Levene'!D27=$B27)*ISNUMBER('Lucy Levene'!E27)*('Lucy Levene'!E27&lt;DayEnd)*('Lucy Levene'!E27+VisitHrs/24&gt;DayStart)+('Lucy Levene'!F27=$B27)*ISNUMBER('Lucy Levene'!G27)*('Lucy Levene'!G27&lt;DayEnd)*('Lucy Levene'!G27+VisitHrs/24&gt;DayStart)+('Tom Bock'!B27=$B27)*ISNUMBER('Tom Bock'!C27)*('Tom Bock'!C27&lt;DayEnd)*('Tom Bock'!C27+VisitHrs/24&gt;DayStart)+('Tom Bock'!D27=$B27)*ISNUMBER('Tom Bock'!E27)*('Tom Bock'!E27&lt;DayEnd)*('Tom Bock'!E27+VisitHrs/24&gt;DayStart)+('Tom Bock'!F27=$B27)*ISNUMBER('Tom Bock'!G27)*('Tom Bock'!G27&lt;DayEnd)*('Tom Bock'!G27+VisitHrs/24&gt;DayStart)+(Jeremy!B27=$B27)*ISNUMBER(Jeremy!C27)*(Jeremy!C27&lt;DayEnd)*(Jeremy!C27+VisitHrs/24&gt;DayStart)+(Jeremy!D27=$B27)*ISNUMBER(Jeremy!E27)*(Jeremy!E27&lt;DayEnd)*(Jeremy!E27+VisitHrs/24&gt;DayStart)+(Jeremy!F27=$B27)*ISNUMBER(Jeremy!G27)*(Jeremy!G27&lt;DayEnd)*(Jeremy!G27+VisitHrs/24&gt;DayStart)+('Test Patient'!B27=$B27)*ISNUMBER('Test Patient'!C27)*('Test Patient'!C27&lt;DayEnd)*('Test Patient'!C27+VisitHrs/24&gt;DayStart)+('Test Patient'!D27=$B27)*ISNUMBER('Test Patient'!E27)*('Test Patient'!E27&lt;DayEnd)*('Test Patient'!E27+VisitHrs/24&gt;DayStart)+('Test Patient'!F27=$B27)*ISNUMBER('Test Patient'!G27)*('Test Patient'!G27&lt;DayEnd)*('Test Patient'!G27+VisitHrs/24&gt;DayStart))+((('Anita Klesch'!$B27=$B27)+('Test Patient 2'!$B27=$B27))-1)+($C27=$B27)*($B27&lt;&gt;"")&gt;=1,1,0),0)</f>
        <v>0</v>
      </c>
      <c r="K27" s="12">
        <f>IF(AND($H27=1,$C27&lt;&gt;""),IF((('Lucy Levene'!B27=$C27)*ISNUMBER('Lucy Levene'!C27)*((('Lucy Levene'!C27+VisitHrs/24&gt;DayEnd)+('Lucy Levene'!C27&lt;DayStart))&gt;0)+('Lucy Levene'!D27=$C27)*ISNUMBER('Lucy Levene'!E27)*((('Lucy Levene'!E27+VisitHrs/24&gt;DayEnd)+('Lucy Levene'!E27&lt;DayStart))&gt;0)+('Lucy Levene'!F27=$C27)*ISNUMBER('Lucy Levene'!G27)*((('Lucy Levene'!G27+VisitHrs/24&gt;DayEnd)+('Lucy Levene'!G27&lt;DayStart))&gt;0)+('Tom Bock'!B27=$C27)*ISNUMBER('Tom Bock'!C27)*((('Tom Bock'!C27+VisitHrs/24&gt;DayEnd)+('Tom Bock'!C27&lt;DayStart))&gt;0)+('Tom Bock'!D27=$C27)*ISNUMBER('Tom Bock'!E27)*((('Tom Bock'!E27+VisitHrs/24&gt;DayEnd)+('Tom Bock'!E27&lt;DayStart))&gt;0)+('Tom Bock'!F27=$C27)*ISNUMBER('Tom Bock'!G27)*((('Tom Bock'!G27+VisitHrs/24&gt;DayEnd)+('Tom Bock'!G27&lt;DayStart))&gt;0)+(Jeremy!B27=$C27)*ISNUMBER(Jeremy!C27)*(((Jeremy!C27+VisitHrs/24&gt;DayEnd)+(Jeremy!C27&lt;DayStart))&gt;0)+(Jeremy!D27=$C27)*ISNUMBER(Jeremy!E27)*(((Jeremy!E27+VisitHrs/24&gt;DayEnd)+(Jeremy!E27&lt;DayStart))&gt;0)+(Jeremy!F27=$C27)*ISNUMBER(Jeremy!G27)*(((Jeremy!G27+VisitHrs/24&gt;DayEnd)+(Jeremy!G27&lt;DayStart))&gt;0)+('Test Patient'!B27=$C27)*ISNUMBER('Test Patient'!C27)*((('Test Patient'!C27+VisitHrs/24&gt;DayEnd)+('Test Patient'!C27&lt;DayStart))&gt;0)+('Test Patient'!D27=$C27)*ISNUMBER('Test Patient'!E27)*((('Test Patient'!E27+VisitHrs/24&gt;DayEnd)+('Test Patient'!E27&lt;DayStart))&gt;0)+('Test Patient'!F27=$C27)*ISNUMBER('Test Patient'!G27)*((('Test Patient'!G27+VisitHrs/24&gt;DayEnd)+('Test Patient'!G27&lt;DayStart))&gt;0))+((('Anita Klesch'!$C27=$C27)+('Test Patient 2'!$C27=$C27))-1)+($B27=$C27)*($C27&lt;&gt;"")&gt;=1,1,0),0)</f>
        <v>0</v>
      </c>
      <c r="L27" s="12"/>
      <c r="M27" s="12" t="str">
        <f t="shared" si="1"/>
        <v/>
      </c>
      <c r="N27" s="12" t="str">
        <f t="shared" si="2"/>
        <v/>
      </c>
    </row>
    <row r="28" spans="1:14" x14ac:dyDescent="0.2">
      <c r="A28" s="2">
        <f t="shared" si="3"/>
        <v>46234</v>
      </c>
      <c r="B28" s="78"/>
      <c r="C28" s="79"/>
      <c r="H28" s="12">
        <f t="shared" si="0"/>
        <v>0</v>
      </c>
      <c r="I28" s="12"/>
      <c r="J28" s="12">
        <f>IF(AND($H28=1,$B28&lt;&gt;""),IF((('Lucy Levene'!B28=$B28)*ISNUMBER('Lucy Levene'!C28)*('Lucy Levene'!C28&lt;DayEnd)*('Lucy Levene'!C28+VisitHrs/24&gt;DayStart)+('Lucy Levene'!D28=$B28)*ISNUMBER('Lucy Levene'!E28)*('Lucy Levene'!E28&lt;DayEnd)*('Lucy Levene'!E28+VisitHrs/24&gt;DayStart)+('Lucy Levene'!F28=$B28)*ISNUMBER('Lucy Levene'!G28)*('Lucy Levene'!G28&lt;DayEnd)*('Lucy Levene'!G28+VisitHrs/24&gt;DayStart)+('Tom Bock'!B28=$B28)*ISNUMBER('Tom Bock'!C28)*('Tom Bock'!C28&lt;DayEnd)*('Tom Bock'!C28+VisitHrs/24&gt;DayStart)+('Tom Bock'!D28=$B28)*ISNUMBER('Tom Bock'!E28)*('Tom Bock'!E28&lt;DayEnd)*('Tom Bock'!E28+VisitHrs/24&gt;DayStart)+('Tom Bock'!F28=$B28)*ISNUMBER('Tom Bock'!G28)*('Tom Bock'!G28&lt;DayEnd)*('Tom Bock'!G28+VisitHrs/24&gt;DayStart)+(Jeremy!B28=$B28)*ISNUMBER(Jeremy!C28)*(Jeremy!C28&lt;DayEnd)*(Jeremy!C28+VisitHrs/24&gt;DayStart)+(Jeremy!D28=$B28)*ISNUMBER(Jeremy!E28)*(Jeremy!E28&lt;DayEnd)*(Jeremy!E28+VisitHrs/24&gt;DayStart)+(Jeremy!F28=$B28)*ISNUMBER(Jeremy!G28)*(Jeremy!G28&lt;DayEnd)*(Jeremy!G28+VisitHrs/24&gt;DayStart)+('Test Patient'!B28=$B28)*ISNUMBER('Test Patient'!C28)*('Test Patient'!C28&lt;DayEnd)*('Test Patient'!C28+VisitHrs/24&gt;DayStart)+('Test Patient'!D28=$B28)*ISNUMBER('Test Patient'!E28)*('Test Patient'!E28&lt;DayEnd)*('Test Patient'!E28+VisitHrs/24&gt;DayStart)+('Test Patient'!F28=$B28)*ISNUMBER('Test Patient'!G28)*('Test Patient'!G28&lt;DayEnd)*('Test Patient'!G28+VisitHrs/24&gt;DayStart))+((('Anita Klesch'!$B28=$B28)+('Test Patient 2'!$B28=$B28))-1)+($C28=$B28)*($B28&lt;&gt;"")&gt;=1,1,0),0)</f>
        <v>0</v>
      </c>
      <c r="K28" s="12">
        <f>IF(AND($H28=1,$C28&lt;&gt;""),IF((('Lucy Levene'!B28=$C28)*ISNUMBER('Lucy Levene'!C28)*((('Lucy Levene'!C28+VisitHrs/24&gt;DayEnd)+('Lucy Levene'!C28&lt;DayStart))&gt;0)+('Lucy Levene'!D28=$C28)*ISNUMBER('Lucy Levene'!E28)*((('Lucy Levene'!E28+VisitHrs/24&gt;DayEnd)+('Lucy Levene'!E28&lt;DayStart))&gt;0)+('Lucy Levene'!F28=$C28)*ISNUMBER('Lucy Levene'!G28)*((('Lucy Levene'!G28+VisitHrs/24&gt;DayEnd)+('Lucy Levene'!G28&lt;DayStart))&gt;0)+('Tom Bock'!B28=$C28)*ISNUMBER('Tom Bock'!C28)*((('Tom Bock'!C28+VisitHrs/24&gt;DayEnd)+('Tom Bock'!C28&lt;DayStart))&gt;0)+('Tom Bock'!D28=$C28)*ISNUMBER('Tom Bock'!E28)*((('Tom Bock'!E28+VisitHrs/24&gt;DayEnd)+('Tom Bock'!E28&lt;DayStart))&gt;0)+('Tom Bock'!F28=$C28)*ISNUMBER('Tom Bock'!G28)*((('Tom Bock'!G28+VisitHrs/24&gt;DayEnd)+('Tom Bock'!G28&lt;DayStart))&gt;0)+(Jeremy!B28=$C28)*ISNUMBER(Jeremy!C28)*(((Jeremy!C28+VisitHrs/24&gt;DayEnd)+(Jeremy!C28&lt;DayStart))&gt;0)+(Jeremy!D28=$C28)*ISNUMBER(Jeremy!E28)*(((Jeremy!E28+VisitHrs/24&gt;DayEnd)+(Jeremy!E28&lt;DayStart))&gt;0)+(Jeremy!F28=$C28)*ISNUMBER(Jeremy!G28)*(((Jeremy!G28+VisitHrs/24&gt;DayEnd)+(Jeremy!G28&lt;DayStart))&gt;0)+('Test Patient'!B28=$C28)*ISNUMBER('Test Patient'!C28)*((('Test Patient'!C28+VisitHrs/24&gt;DayEnd)+('Test Patient'!C28&lt;DayStart))&gt;0)+('Test Patient'!D28=$C28)*ISNUMBER('Test Patient'!E28)*((('Test Patient'!E28+VisitHrs/24&gt;DayEnd)+('Test Patient'!E28&lt;DayStart))&gt;0)+('Test Patient'!F28=$C28)*ISNUMBER('Test Patient'!G28)*((('Test Patient'!G28+VisitHrs/24&gt;DayEnd)+('Test Patient'!G28&lt;DayStart))&gt;0))+((('Anita Klesch'!$C28=$C28)+('Test Patient 2'!$C28=$C28))-1)+($B28=$C28)*($C28&lt;&gt;"")&gt;=1,1,0),0)</f>
        <v>0</v>
      </c>
      <c r="L28" s="12"/>
      <c r="M28" s="12" t="str">
        <f t="shared" si="1"/>
        <v/>
      </c>
      <c r="N28" s="12" t="str">
        <f t="shared" si="2"/>
        <v/>
      </c>
    </row>
    <row r="29" spans="1:14" x14ac:dyDescent="0.2">
      <c r="A29" s="2">
        <f t="shared" si="3"/>
        <v>46235</v>
      </c>
      <c r="B29" s="80"/>
      <c r="C29" s="81"/>
      <c r="H29" s="12">
        <f t="shared" si="0"/>
        <v>0</v>
      </c>
      <c r="I29" s="12"/>
      <c r="J29" s="12">
        <f>IF(AND($H29=1,$B29&lt;&gt;""),IF((('Lucy Levene'!B29=$B29)*ISNUMBER('Lucy Levene'!C29)*('Lucy Levene'!C29&lt;DayEnd)*('Lucy Levene'!C29+VisitHrs/24&gt;DayStart)+('Lucy Levene'!D29=$B29)*ISNUMBER('Lucy Levene'!E29)*('Lucy Levene'!E29&lt;DayEnd)*('Lucy Levene'!E29+VisitHrs/24&gt;DayStart)+('Lucy Levene'!F29=$B29)*ISNUMBER('Lucy Levene'!G29)*('Lucy Levene'!G29&lt;DayEnd)*('Lucy Levene'!G29+VisitHrs/24&gt;DayStart)+('Tom Bock'!B29=$B29)*ISNUMBER('Tom Bock'!C29)*('Tom Bock'!C29&lt;DayEnd)*('Tom Bock'!C29+VisitHrs/24&gt;DayStart)+('Tom Bock'!D29=$B29)*ISNUMBER('Tom Bock'!E29)*('Tom Bock'!E29&lt;DayEnd)*('Tom Bock'!E29+VisitHrs/24&gt;DayStart)+('Tom Bock'!F29=$B29)*ISNUMBER('Tom Bock'!G29)*('Tom Bock'!G29&lt;DayEnd)*('Tom Bock'!G29+VisitHrs/24&gt;DayStart)+(Jeremy!B29=$B29)*ISNUMBER(Jeremy!C29)*(Jeremy!C29&lt;DayEnd)*(Jeremy!C29+VisitHrs/24&gt;DayStart)+(Jeremy!D29=$B29)*ISNUMBER(Jeremy!E29)*(Jeremy!E29&lt;DayEnd)*(Jeremy!E29+VisitHrs/24&gt;DayStart)+(Jeremy!F29=$B29)*ISNUMBER(Jeremy!G29)*(Jeremy!G29&lt;DayEnd)*(Jeremy!G29+VisitHrs/24&gt;DayStart)+('Test Patient'!B29=$B29)*ISNUMBER('Test Patient'!C29)*('Test Patient'!C29&lt;DayEnd)*('Test Patient'!C29+VisitHrs/24&gt;DayStart)+('Test Patient'!D29=$B29)*ISNUMBER('Test Patient'!E29)*('Test Patient'!E29&lt;DayEnd)*('Test Patient'!E29+VisitHrs/24&gt;DayStart)+('Test Patient'!F29=$B29)*ISNUMBER('Test Patient'!G29)*('Test Patient'!G29&lt;DayEnd)*('Test Patient'!G29+VisitHrs/24&gt;DayStart))+((('Anita Klesch'!$B29=$B29)+('Test Patient 2'!$B29=$B29))-1)+($C29=$B29)*($B29&lt;&gt;"")&gt;=1,1,0),0)</f>
        <v>0</v>
      </c>
      <c r="K29" s="12">
        <f>IF(AND($H29=1,$C29&lt;&gt;""),IF((('Lucy Levene'!B29=$C29)*ISNUMBER('Lucy Levene'!C29)*((('Lucy Levene'!C29+VisitHrs/24&gt;DayEnd)+('Lucy Levene'!C29&lt;DayStart))&gt;0)+('Lucy Levene'!D29=$C29)*ISNUMBER('Lucy Levene'!E29)*((('Lucy Levene'!E29+VisitHrs/24&gt;DayEnd)+('Lucy Levene'!E29&lt;DayStart))&gt;0)+('Lucy Levene'!F29=$C29)*ISNUMBER('Lucy Levene'!G29)*((('Lucy Levene'!G29+VisitHrs/24&gt;DayEnd)+('Lucy Levene'!G29&lt;DayStart))&gt;0)+('Tom Bock'!B29=$C29)*ISNUMBER('Tom Bock'!C29)*((('Tom Bock'!C29+VisitHrs/24&gt;DayEnd)+('Tom Bock'!C29&lt;DayStart))&gt;0)+('Tom Bock'!D29=$C29)*ISNUMBER('Tom Bock'!E29)*((('Tom Bock'!E29+VisitHrs/24&gt;DayEnd)+('Tom Bock'!E29&lt;DayStart))&gt;0)+('Tom Bock'!F29=$C29)*ISNUMBER('Tom Bock'!G29)*((('Tom Bock'!G29+VisitHrs/24&gt;DayEnd)+('Tom Bock'!G29&lt;DayStart))&gt;0)+(Jeremy!B29=$C29)*ISNUMBER(Jeremy!C29)*(((Jeremy!C29+VisitHrs/24&gt;DayEnd)+(Jeremy!C29&lt;DayStart))&gt;0)+(Jeremy!D29=$C29)*ISNUMBER(Jeremy!E29)*(((Jeremy!E29+VisitHrs/24&gt;DayEnd)+(Jeremy!E29&lt;DayStart))&gt;0)+(Jeremy!F29=$C29)*ISNUMBER(Jeremy!G29)*(((Jeremy!G29+VisitHrs/24&gt;DayEnd)+(Jeremy!G29&lt;DayStart))&gt;0)+('Test Patient'!B29=$C29)*ISNUMBER('Test Patient'!C29)*((('Test Patient'!C29+VisitHrs/24&gt;DayEnd)+('Test Patient'!C29&lt;DayStart))&gt;0)+('Test Patient'!D29=$C29)*ISNUMBER('Test Patient'!E29)*((('Test Patient'!E29+VisitHrs/24&gt;DayEnd)+('Test Patient'!E29&lt;DayStart))&gt;0)+('Test Patient'!F29=$C29)*ISNUMBER('Test Patient'!G29)*((('Test Patient'!G29+VisitHrs/24&gt;DayEnd)+('Test Patient'!G29&lt;DayStart))&gt;0))+((('Anita Klesch'!$C29=$C29)+('Test Patient 2'!$C29=$C29))-1)+($B29=$C29)*($C29&lt;&gt;"")&gt;=1,1,0),0)</f>
        <v>0</v>
      </c>
      <c r="L29" s="12"/>
      <c r="M29" s="12" t="str">
        <f t="shared" si="1"/>
        <v/>
      </c>
      <c r="N29" s="12" t="str">
        <f t="shared" si="2"/>
        <v/>
      </c>
    </row>
    <row r="30" spans="1:14" x14ac:dyDescent="0.2">
      <c r="A30" s="2">
        <f t="shared" si="3"/>
        <v>46236</v>
      </c>
      <c r="B30" s="3"/>
      <c r="C30" s="3" t="s">
        <v>84</v>
      </c>
      <c r="H30" s="12">
        <f t="shared" si="0"/>
        <v>0</v>
      </c>
      <c r="I30" s="12"/>
      <c r="J30" s="12">
        <f>IF(AND($H30=1,$B30&lt;&gt;""),IF((('Lucy Levene'!B30=$B30)*ISNUMBER('Lucy Levene'!C30)*('Lucy Levene'!C30&lt;DayEnd)*('Lucy Levene'!C30+VisitHrs/24&gt;DayStart)+('Lucy Levene'!D30=$B30)*ISNUMBER('Lucy Levene'!E30)*('Lucy Levene'!E30&lt;DayEnd)*('Lucy Levene'!E30+VisitHrs/24&gt;DayStart)+('Lucy Levene'!F30=$B30)*ISNUMBER('Lucy Levene'!G30)*('Lucy Levene'!G30&lt;DayEnd)*('Lucy Levene'!G30+VisitHrs/24&gt;DayStart)+('Tom Bock'!B30=$B30)*ISNUMBER('Tom Bock'!C30)*('Tom Bock'!C30&lt;DayEnd)*('Tom Bock'!C30+VisitHrs/24&gt;DayStart)+('Tom Bock'!D30=$B30)*ISNUMBER('Tom Bock'!E30)*('Tom Bock'!E30&lt;DayEnd)*('Tom Bock'!E30+VisitHrs/24&gt;DayStart)+('Tom Bock'!F30=$B30)*ISNUMBER('Tom Bock'!G30)*('Tom Bock'!G30&lt;DayEnd)*('Tom Bock'!G30+VisitHrs/24&gt;DayStart)+(Jeremy!B30=$B30)*ISNUMBER(Jeremy!C30)*(Jeremy!C30&lt;DayEnd)*(Jeremy!C30+VisitHrs/24&gt;DayStart)+(Jeremy!D30=$B30)*ISNUMBER(Jeremy!E30)*(Jeremy!E30&lt;DayEnd)*(Jeremy!E30+VisitHrs/24&gt;DayStart)+(Jeremy!F30=$B30)*ISNUMBER(Jeremy!G30)*(Jeremy!G30&lt;DayEnd)*(Jeremy!G30+VisitHrs/24&gt;DayStart)+('Test Patient'!B30=$B30)*ISNUMBER('Test Patient'!C30)*('Test Patient'!C30&lt;DayEnd)*('Test Patient'!C30+VisitHrs/24&gt;DayStart)+('Test Patient'!D30=$B30)*ISNUMBER('Test Patient'!E30)*('Test Patient'!E30&lt;DayEnd)*('Test Patient'!E30+VisitHrs/24&gt;DayStart)+('Test Patient'!F30=$B30)*ISNUMBER('Test Patient'!G30)*('Test Patient'!G30&lt;DayEnd)*('Test Patient'!G30+VisitHrs/24&gt;DayStart))+((('Anita Klesch'!$B30=$B30)+('Test Patient 2'!$B30=$B30))-1)+($C30=$B30)*($B30&lt;&gt;"")&gt;=1,1,0),0)</f>
        <v>0</v>
      </c>
      <c r="K30" s="12">
        <f>IF(AND($H30=1,$C30&lt;&gt;""),IF((('Lucy Levene'!B30=$C30)*ISNUMBER('Lucy Levene'!C30)*((('Lucy Levene'!C30+VisitHrs/24&gt;DayEnd)+('Lucy Levene'!C30&lt;DayStart))&gt;0)+('Lucy Levene'!D30=$C30)*ISNUMBER('Lucy Levene'!E30)*((('Lucy Levene'!E30+VisitHrs/24&gt;DayEnd)+('Lucy Levene'!E30&lt;DayStart))&gt;0)+('Lucy Levene'!F30=$C30)*ISNUMBER('Lucy Levene'!G30)*((('Lucy Levene'!G30+VisitHrs/24&gt;DayEnd)+('Lucy Levene'!G30&lt;DayStart))&gt;0)+('Tom Bock'!B30=$C30)*ISNUMBER('Tom Bock'!C30)*((('Tom Bock'!C30+VisitHrs/24&gt;DayEnd)+('Tom Bock'!C30&lt;DayStart))&gt;0)+('Tom Bock'!D30=$C30)*ISNUMBER('Tom Bock'!E30)*((('Tom Bock'!E30+VisitHrs/24&gt;DayEnd)+('Tom Bock'!E30&lt;DayStart))&gt;0)+('Tom Bock'!F30=$C30)*ISNUMBER('Tom Bock'!G30)*((('Tom Bock'!G30+VisitHrs/24&gt;DayEnd)+('Tom Bock'!G30&lt;DayStart))&gt;0)+(Jeremy!B30=$C30)*ISNUMBER(Jeremy!C30)*(((Jeremy!C30+VisitHrs/24&gt;DayEnd)+(Jeremy!C30&lt;DayStart))&gt;0)+(Jeremy!D30=$C30)*ISNUMBER(Jeremy!E30)*(((Jeremy!E30+VisitHrs/24&gt;DayEnd)+(Jeremy!E30&lt;DayStart))&gt;0)+(Jeremy!F30=$C30)*ISNUMBER(Jeremy!G30)*(((Jeremy!G30+VisitHrs/24&gt;DayEnd)+(Jeremy!G30&lt;DayStart))&gt;0)+('Test Patient'!B30=$C30)*ISNUMBER('Test Patient'!C30)*((('Test Patient'!C30+VisitHrs/24&gt;DayEnd)+('Test Patient'!C30&lt;DayStart))&gt;0)+('Test Patient'!D30=$C30)*ISNUMBER('Test Patient'!E30)*((('Test Patient'!E30+VisitHrs/24&gt;DayEnd)+('Test Patient'!E30&lt;DayStart))&gt;0)+('Test Patient'!F30=$C30)*ISNUMBER('Test Patient'!G30)*((('Test Patient'!G30+VisitHrs/24&gt;DayEnd)+('Test Patient'!G30&lt;DayStart))&gt;0))+((('Anita Klesch'!$C30=$C30)+('Test Patient 2'!$C30=$C30))-1)+($B30=$C30)*($C30&lt;&gt;"")&gt;=1,1,0),0)</f>
        <v>0</v>
      </c>
      <c r="L30" s="12"/>
      <c r="M30" s="12" t="str">
        <f t="shared" si="1"/>
        <v/>
      </c>
      <c r="N30" s="12" t="str">
        <f t="shared" si="2"/>
        <v/>
      </c>
    </row>
    <row r="31" spans="1:14" x14ac:dyDescent="0.2">
      <c r="A31" s="2">
        <f t="shared" si="3"/>
        <v>46237</v>
      </c>
      <c r="B31" s="3"/>
      <c r="C31" s="3"/>
      <c r="H31" s="12">
        <f t="shared" si="0"/>
        <v>0</v>
      </c>
      <c r="I31" s="12"/>
      <c r="J31" s="12">
        <f>IF(AND($H31=1,$B31&lt;&gt;""),IF((('Lucy Levene'!B31=$B31)*ISNUMBER('Lucy Levene'!C31)*('Lucy Levene'!C31&lt;DayEnd)*('Lucy Levene'!C31+VisitHrs/24&gt;DayStart)+('Lucy Levene'!D31=$B31)*ISNUMBER('Lucy Levene'!E31)*('Lucy Levene'!E31&lt;DayEnd)*('Lucy Levene'!E31+VisitHrs/24&gt;DayStart)+('Lucy Levene'!F31=$B31)*ISNUMBER('Lucy Levene'!G31)*('Lucy Levene'!G31&lt;DayEnd)*('Lucy Levene'!G31+VisitHrs/24&gt;DayStart)+('Tom Bock'!B31=$B31)*ISNUMBER('Tom Bock'!C31)*('Tom Bock'!C31&lt;DayEnd)*('Tom Bock'!C31+VisitHrs/24&gt;DayStart)+('Tom Bock'!D31=$B31)*ISNUMBER('Tom Bock'!E31)*('Tom Bock'!E31&lt;DayEnd)*('Tom Bock'!E31+VisitHrs/24&gt;DayStart)+('Tom Bock'!F31=$B31)*ISNUMBER('Tom Bock'!G31)*('Tom Bock'!G31&lt;DayEnd)*('Tom Bock'!G31+VisitHrs/24&gt;DayStart)+(Jeremy!B31=$B31)*ISNUMBER(Jeremy!C31)*(Jeremy!C31&lt;DayEnd)*(Jeremy!C31+VisitHrs/24&gt;DayStart)+(Jeremy!D31=$B31)*ISNUMBER(Jeremy!E31)*(Jeremy!E31&lt;DayEnd)*(Jeremy!E31+VisitHrs/24&gt;DayStart)+(Jeremy!F31=$B31)*ISNUMBER(Jeremy!G31)*(Jeremy!G31&lt;DayEnd)*(Jeremy!G31+VisitHrs/24&gt;DayStart)+('Test Patient'!B31=$B31)*ISNUMBER('Test Patient'!C31)*('Test Patient'!C31&lt;DayEnd)*('Test Patient'!C31+VisitHrs/24&gt;DayStart)+('Test Patient'!D31=$B31)*ISNUMBER('Test Patient'!E31)*('Test Patient'!E31&lt;DayEnd)*('Test Patient'!E31+VisitHrs/24&gt;DayStart)+('Test Patient'!F31=$B31)*ISNUMBER('Test Patient'!G31)*('Test Patient'!G31&lt;DayEnd)*('Test Patient'!G31+VisitHrs/24&gt;DayStart))+((('Anita Klesch'!$B31=$B31)+('Test Patient 2'!$B31=$B31))-1)+($C31=$B31)*($B31&lt;&gt;"")&gt;=1,1,0),0)</f>
        <v>0</v>
      </c>
      <c r="K31" s="12">
        <f>IF(AND($H31=1,$C31&lt;&gt;""),IF((('Lucy Levene'!B31=$C31)*ISNUMBER('Lucy Levene'!C31)*((('Lucy Levene'!C31+VisitHrs/24&gt;DayEnd)+('Lucy Levene'!C31&lt;DayStart))&gt;0)+('Lucy Levene'!D31=$C31)*ISNUMBER('Lucy Levene'!E31)*((('Lucy Levene'!E31+VisitHrs/24&gt;DayEnd)+('Lucy Levene'!E31&lt;DayStart))&gt;0)+('Lucy Levene'!F31=$C31)*ISNUMBER('Lucy Levene'!G31)*((('Lucy Levene'!G31+VisitHrs/24&gt;DayEnd)+('Lucy Levene'!G31&lt;DayStart))&gt;0)+('Tom Bock'!B31=$C31)*ISNUMBER('Tom Bock'!C31)*((('Tom Bock'!C31+VisitHrs/24&gt;DayEnd)+('Tom Bock'!C31&lt;DayStart))&gt;0)+('Tom Bock'!D31=$C31)*ISNUMBER('Tom Bock'!E31)*((('Tom Bock'!E31+VisitHrs/24&gt;DayEnd)+('Tom Bock'!E31&lt;DayStart))&gt;0)+('Tom Bock'!F31=$C31)*ISNUMBER('Tom Bock'!G31)*((('Tom Bock'!G31+VisitHrs/24&gt;DayEnd)+('Tom Bock'!G31&lt;DayStart))&gt;0)+(Jeremy!B31=$C31)*ISNUMBER(Jeremy!C31)*(((Jeremy!C31+VisitHrs/24&gt;DayEnd)+(Jeremy!C31&lt;DayStart))&gt;0)+(Jeremy!D31=$C31)*ISNUMBER(Jeremy!E31)*(((Jeremy!E31+VisitHrs/24&gt;DayEnd)+(Jeremy!E31&lt;DayStart))&gt;0)+(Jeremy!F31=$C31)*ISNUMBER(Jeremy!G31)*(((Jeremy!G31+VisitHrs/24&gt;DayEnd)+(Jeremy!G31&lt;DayStart))&gt;0)+('Test Patient'!B31=$C31)*ISNUMBER('Test Patient'!C31)*((('Test Patient'!C31+VisitHrs/24&gt;DayEnd)+('Test Patient'!C31&lt;DayStart))&gt;0)+('Test Patient'!D31=$C31)*ISNUMBER('Test Patient'!E31)*((('Test Patient'!E31+VisitHrs/24&gt;DayEnd)+('Test Patient'!E31&lt;DayStart))&gt;0)+('Test Patient'!F31=$C31)*ISNUMBER('Test Patient'!G31)*((('Test Patient'!G31+VisitHrs/24&gt;DayEnd)+('Test Patient'!G31&lt;DayStart))&gt;0))+((('Anita Klesch'!$C31=$C31)+('Test Patient 2'!$C31=$C31))-1)+($B31=$C31)*($C31&lt;&gt;"")&gt;=1,1,0),0)</f>
        <v>0</v>
      </c>
      <c r="L31" s="12"/>
      <c r="M31" s="12" t="str">
        <f t="shared" si="1"/>
        <v/>
      </c>
      <c r="N31" s="12" t="str">
        <f t="shared" si="2"/>
        <v/>
      </c>
    </row>
    <row r="32" spans="1:14" x14ac:dyDescent="0.2">
      <c r="A32" s="2">
        <f t="shared" si="3"/>
        <v>46238</v>
      </c>
      <c r="B32" s="3"/>
      <c r="C32" s="3"/>
      <c r="H32" s="12">
        <f t="shared" si="0"/>
        <v>0</v>
      </c>
      <c r="I32" s="12"/>
      <c r="J32" s="12">
        <f>IF(AND($H32=1,$B32&lt;&gt;""),IF((('Lucy Levene'!B32=$B32)*ISNUMBER('Lucy Levene'!C32)*('Lucy Levene'!C32&lt;DayEnd)*('Lucy Levene'!C32+VisitHrs/24&gt;DayStart)+('Lucy Levene'!D32=$B32)*ISNUMBER('Lucy Levene'!E32)*('Lucy Levene'!E32&lt;DayEnd)*('Lucy Levene'!E32+VisitHrs/24&gt;DayStart)+('Lucy Levene'!F32=$B32)*ISNUMBER('Lucy Levene'!G32)*('Lucy Levene'!G32&lt;DayEnd)*('Lucy Levene'!G32+VisitHrs/24&gt;DayStart)+('Tom Bock'!B32=$B32)*ISNUMBER('Tom Bock'!C32)*('Tom Bock'!C32&lt;DayEnd)*('Tom Bock'!C32+VisitHrs/24&gt;DayStart)+('Tom Bock'!D32=$B32)*ISNUMBER('Tom Bock'!E32)*('Tom Bock'!E32&lt;DayEnd)*('Tom Bock'!E32+VisitHrs/24&gt;DayStart)+('Tom Bock'!F32=$B32)*ISNUMBER('Tom Bock'!G32)*('Tom Bock'!G32&lt;DayEnd)*('Tom Bock'!G32+VisitHrs/24&gt;DayStart)+(Jeremy!B32=$B32)*ISNUMBER(Jeremy!C32)*(Jeremy!C32&lt;DayEnd)*(Jeremy!C32+VisitHrs/24&gt;DayStart)+(Jeremy!D32=$B32)*ISNUMBER(Jeremy!E32)*(Jeremy!E32&lt;DayEnd)*(Jeremy!E32+VisitHrs/24&gt;DayStart)+(Jeremy!F32=$B32)*ISNUMBER(Jeremy!G32)*(Jeremy!G32&lt;DayEnd)*(Jeremy!G32+VisitHrs/24&gt;DayStart)+('Test Patient'!B32=$B32)*ISNUMBER('Test Patient'!C32)*('Test Patient'!C32&lt;DayEnd)*('Test Patient'!C32+VisitHrs/24&gt;DayStart)+('Test Patient'!D32=$B32)*ISNUMBER('Test Patient'!E32)*('Test Patient'!E32&lt;DayEnd)*('Test Patient'!E32+VisitHrs/24&gt;DayStart)+('Test Patient'!F32=$B32)*ISNUMBER('Test Patient'!G32)*('Test Patient'!G32&lt;DayEnd)*('Test Patient'!G32+VisitHrs/24&gt;DayStart))+((('Anita Klesch'!$B32=$B32)+('Test Patient 2'!$B32=$B32))-1)+($C32=$B32)*($B32&lt;&gt;"")&gt;=1,1,0),0)</f>
        <v>0</v>
      </c>
      <c r="K32" s="12">
        <f>IF(AND($H32=1,$C32&lt;&gt;""),IF((('Lucy Levene'!B32=$C32)*ISNUMBER('Lucy Levene'!C32)*((('Lucy Levene'!C32+VisitHrs/24&gt;DayEnd)+('Lucy Levene'!C32&lt;DayStart))&gt;0)+('Lucy Levene'!D32=$C32)*ISNUMBER('Lucy Levene'!E32)*((('Lucy Levene'!E32+VisitHrs/24&gt;DayEnd)+('Lucy Levene'!E32&lt;DayStart))&gt;0)+('Lucy Levene'!F32=$C32)*ISNUMBER('Lucy Levene'!G32)*((('Lucy Levene'!G32+VisitHrs/24&gt;DayEnd)+('Lucy Levene'!G32&lt;DayStart))&gt;0)+('Tom Bock'!B32=$C32)*ISNUMBER('Tom Bock'!C32)*((('Tom Bock'!C32+VisitHrs/24&gt;DayEnd)+('Tom Bock'!C32&lt;DayStart))&gt;0)+('Tom Bock'!D32=$C32)*ISNUMBER('Tom Bock'!E32)*((('Tom Bock'!E32+VisitHrs/24&gt;DayEnd)+('Tom Bock'!E32&lt;DayStart))&gt;0)+('Tom Bock'!F32=$C32)*ISNUMBER('Tom Bock'!G32)*((('Tom Bock'!G32+VisitHrs/24&gt;DayEnd)+('Tom Bock'!G32&lt;DayStart))&gt;0)+(Jeremy!B32=$C32)*ISNUMBER(Jeremy!C32)*(((Jeremy!C32+VisitHrs/24&gt;DayEnd)+(Jeremy!C32&lt;DayStart))&gt;0)+(Jeremy!D32=$C32)*ISNUMBER(Jeremy!E32)*(((Jeremy!E32+VisitHrs/24&gt;DayEnd)+(Jeremy!E32&lt;DayStart))&gt;0)+(Jeremy!F32=$C32)*ISNUMBER(Jeremy!G32)*(((Jeremy!G32+VisitHrs/24&gt;DayEnd)+(Jeremy!G32&lt;DayStart))&gt;0)+('Test Patient'!B32=$C32)*ISNUMBER('Test Patient'!C32)*((('Test Patient'!C32+VisitHrs/24&gt;DayEnd)+('Test Patient'!C32&lt;DayStart))&gt;0)+('Test Patient'!D32=$C32)*ISNUMBER('Test Patient'!E32)*((('Test Patient'!E32+VisitHrs/24&gt;DayEnd)+('Test Patient'!E32&lt;DayStart))&gt;0)+('Test Patient'!F32=$C32)*ISNUMBER('Test Patient'!G32)*((('Test Patient'!G32+VisitHrs/24&gt;DayEnd)+('Test Patient'!G32&lt;DayStart))&gt;0))+((('Anita Klesch'!$C32=$C32)+('Test Patient 2'!$C32=$C32))-1)+($B32=$C32)*($C32&lt;&gt;"")&gt;=1,1,0),0)</f>
        <v>0</v>
      </c>
      <c r="L32" s="12"/>
      <c r="M32" s="12" t="str">
        <f t="shared" si="1"/>
        <v/>
      </c>
      <c r="N32" s="12" t="str">
        <f t="shared" si="2"/>
        <v/>
      </c>
    </row>
    <row r="33" spans="1:14" x14ac:dyDescent="0.2">
      <c r="A33" s="2">
        <f t="shared" si="3"/>
        <v>46239</v>
      </c>
      <c r="B33" s="3"/>
      <c r="C33" s="3"/>
      <c r="H33" s="12">
        <f t="shared" si="0"/>
        <v>0</v>
      </c>
      <c r="I33" s="12"/>
      <c r="J33" s="12">
        <f>IF(AND($H33=1,$B33&lt;&gt;""),IF((('Lucy Levene'!B33=$B33)*ISNUMBER('Lucy Levene'!C33)*('Lucy Levene'!C33&lt;DayEnd)*('Lucy Levene'!C33+VisitHrs/24&gt;DayStart)+('Lucy Levene'!D33=$B33)*ISNUMBER('Lucy Levene'!E33)*('Lucy Levene'!E33&lt;DayEnd)*('Lucy Levene'!E33+VisitHrs/24&gt;DayStart)+('Lucy Levene'!F33=$B33)*ISNUMBER('Lucy Levene'!G33)*('Lucy Levene'!G33&lt;DayEnd)*('Lucy Levene'!G33+VisitHrs/24&gt;DayStart)+('Tom Bock'!B33=$B33)*ISNUMBER('Tom Bock'!C33)*('Tom Bock'!C33&lt;DayEnd)*('Tom Bock'!C33+VisitHrs/24&gt;DayStart)+('Tom Bock'!D33=$B33)*ISNUMBER('Tom Bock'!E33)*('Tom Bock'!E33&lt;DayEnd)*('Tom Bock'!E33+VisitHrs/24&gt;DayStart)+('Tom Bock'!F33=$B33)*ISNUMBER('Tom Bock'!G33)*('Tom Bock'!G33&lt;DayEnd)*('Tom Bock'!G33+VisitHrs/24&gt;DayStart)+(Jeremy!B33=$B33)*ISNUMBER(Jeremy!C33)*(Jeremy!C33&lt;DayEnd)*(Jeremy!C33+VisitHrs/24&gt;DayStart)+(Jeremy!D33=$B33)*ISNUMBER(Jeremy!E33)*(Jeremy!E33&lt;DayEnd)*(Jeremy!E33+VisitHrs/24&gt;DayStart)+(Jeremy!F33=$B33)*ISNUMBER(Jeremy!G33)*(Jeremy!G33&lt;DayEnd)*(Jeremy!G33+VisitHrs/24&gt;DayStart)+('Test Patient'!B33=$B33)*ISNUMBER('Test Patient'!C33)*('Test Patient'!C33&lt;DayEnd)*('Test Patient'!C33+VisitHrs/24&gt;DayStart)+('Test Patient'!D33=$B33)*ISNUMBER('Test Patient'!E33)*('Test Patient'!E33&lt;DayEnd)*('Test Patient'!E33+VisitHrs/24&gt;DayStart)+('Test Patient'!F33=$B33)*ISNUMBER('Test Patient'!G33)*('Test Patient'!G33&lt;DayEnd)*('Test Patient'!G33+VisitHrs/24&gt;DayStart))+((('Anita Klesch'!$B33=$B33)+('Test Patient 2'!$B33=$B33))-1)+($C33=$B33)*($B33&lt;&gt;"")&gt;=1,1,0),0)</f>
        <v>0</v>
      </c>
      <c r="K33" s="12">
        <f>IF(AND($H33=1,$C33&lt;&gt;""),IF((('Lucy Levene'!B33=$C33)*ISNUMBER('Lucy Levene'!C33)*((('Lucy Levene'!C33+VisitHrs/24&gt;DayEnd)+('Lucy Levene'!C33&lt;DayStart))&gt;0)+('Lucy Levene'!D33=$C33)*ISNUMBER('Lucy Levene'!E33)*((('Lucy Levene'!E33+VisitHrs/24&gt;DayEnd)+('Lucy Levene'!E33&lt;DayStart))&gt;0)+('Lucy Levene'!F33=$C33)*ISNUMBER('Lucy Levene'!G33)*((('Lucy Levene'!G33+VisitHrs/24&gt;DayEnd)+('Lucy Levene'!G33&lt;DayStart))&gt;0)+('Tom Bock'!B33=$C33)*ISNUMBER('Tom Bock'!C33)*((('Tom Bock'!C33+VisitHrs/24&gt;DayEnd)+('Tom Bock'!C33&lt;DayStart))&gt;0)+('Tom Bock'!D33=$C33)*ISNUMBER('Tom Bock'!E33)*((('Tom Bock'!E33+VisitHrs/24&gt;DayEnd)+('Tom Bock'!E33&lt;DayStart))&gt;0)+('Tom Bock'!F33=$C33)*ISNUMBER('Tom Bock'!G33)*((('Tom Bock'!G33+VisitHrs/24&gt;DayEnd)+('Tom Bock'!G33&lt;DayStart))&gt;0)+(Jeremy!B33=$C33)*ISNUMBER(Jeremy!C33)*(((Jeremy!C33+VisitHrs/24&gt;DayEnd)+(Jeremy!C33&lt;DayStart))&gt;0)+(Jeremy!D33=$C33)*ISNUMBER(Jeremy!E33)*(((Jeremy!E33+VisitHrs/24&gt;DayEnd)+(Jeremy!E33&lt;DayStart))&gt;0)+(Jeremy!F33=$C33)*ISNUMBER(Jeremy!G33)*(((Jeremy!G33+VisitHrs/24&gt;DayEnd)+(Jeremy!G33&lt;DayStart))&gt;0)+('Test Patient'!B33=$C33)*ISNUMBER('Test Patient'!C33)*((('Test Patient'!C33+VisitHrs/24&gt;DayEnd)+('Test Patient'!C33&lt;DayStart))&gt;0)+('Test Patient'!D33=$C33)*ISNUMBER('Test Patient'!E33)*((('Test Patient'!E33+VisitHrs/24&gt;DayEnd)+('Test Patient'!E33&lt;DayStart))&gt;0)+('Test Patient'!F33=$C33)*ISNUMBER('Test Patient'!G33)*((('Test Patient'!G33+VisitHrs/24&gt;DayEnd)+('Test Patient'!G33&lt;DayStart))&gt;0))+((('Anita Klesch'!$C33=$C33)+('Test Patient 2'!$C33=$C33))-1)+($B33=$C33)*($C33&lt;&gt;"")&gt;=1,1,0),0)</f>
        <v>0</v>
      </c>
      <c r="L33" s="12"/>
      <c r="M33" s="12" t="str">
        <f t="shared" si="1"/>
        <v/>
      </c>
      <c r="N33" s="12" t="str">
        <f t="shared" si="2"/>
        <v/>
      </c>
    </row>
    <row r="34" spans="1:14" x14ac:dyDescent="0.2">
      <c r="A34" s="2">
        <f t="shared" si="3"/>
        <v>46240</v>
      </c>
      <c r="B34" s="3"/>
      <c r="C34" s="3"/>
      <c r="H34" s="12">
        <f t="shared" si="0"/>
        <v>0</v>
      </c>
      <c r="I34" s="12"/>
      <c r="J34" s="12">
        <f>IF(AND($H34=1,$B34&lt;&gt;""),IF((('Lucy Levene'!B34=$B34)*ISNUMBER('Lucy Levene'!C34)*('Lucy Levene'!C34&lt;DayEnd)*('Lucy Levene'!C34+VisitHrs/24&gt;DayStart)+('Lucy Levene'!D34=$B34)*ISNUMBER('Lucy Levene'!E34)*('Lucy Levene'!E34&lt;DayEnd)*('Lucy Levene'!E34+VisitHrs/24&gt;DayStart)+('Lucy Levene'!F34=$B34)*ISNUMBER('Lucy Levene'!G34)*('Lucy Levene'!G34&lt;DayEnd)*('Lucy Levene'!G34+VisitHrs/24&gt;DayStart)+('Tom Bock'!B34=$B34)*ISNUMBER('Tom Bock'!C34)*('Tom Bock'!C34&lt;DayEnd)*('Tom Bock'!C34+VisitHrs/24&gt;DayStart)+('Tom Bock'!D34=$B34)*ISNUMBER('Tom Bock'!E34)*('Tom Bock'!E34&lt;DayEnd)*('Tom Bock'!E34+VisitHrs/24&gt;DayStart)+('Tom Bock'!F34=$B34)*ISNUMBER('Tom Bock'!G34)*('Tom Bock'!G34&lt;DayEnd)*('Tom Bock'!G34+VisitHrs/24&gt;DayStart)+(Jeremy!B34=$B34)*ISNUMBER(Jeremy!C34)*(Jeremy!C34&lt;DayEnd)*(Jeremy!C34+VisitHrs/24&gt;DayStart)+(Jeremy!D34=$B34)*ISNUMBER(Jeremy!E34)*(Jeremy!E34&lt;DayEnd)*(Jeremy!E34+VisitHrs/24&gt;DayStart)+(Jeremy!F34=$B34)*ISNUMBER(Jeremy!G34)*(Jeremy!G34&lt;DayEnd)*(Jeremy!G34+VisitHrs/24&gt;DayStart)+('Test Patient'!B34=$B34)*ISNUMBER('Test Patient'!C34)*('Test Patient'!C34&lt;DayEnd)*('Test Patient'!C34+VisitHrs/24&gt;DayStart)+('Test Patient'!D34=$B34)*ISNUMBER('Test Patient'!E34)*('Test Patient'!E34&lt;DayEnd)*('Test Patient'!E34+VisitHrs/24&gt;DayStart)+('Test Patient'!F34=$B34)*ISNUMBER('Test Patient'!G34)*('Test Patient'!G34&lt;DayEnd)*('Test Patient'!G34+VisitHrs/24&gt;DayStart))+((('Anita Klesch'!$B34=$B34)+('Test Patient 2'!$B34=$B34))-1)+($C34=$B34)*($B34&lt;&gt;"")&gt;=1,1,0),0)</f>
        <v>0</v>
      </c>
      <c r="K34" s="12">
        <f>IF(AND($H34=1,$C34&lt;&gt;""),IF((('Lucy Levene'!B34=$C34)*ISNUMBER('Lucy Levene'!C34)*((('Lucy Levene'!C34+VisitHrs/24&gt;DayEnd)+('Lucy Levene'!C34&lt;DayStart))&gt;0)+('Lucy Levene'!D34=$C34)*ISNUMBER('Lucy Levene'!E34)*((('Lucy Levene'!E34+VisitHrs/24&gt;DayEnd)+('Lucy Levene'!E34&lt;DayStart))&gt;0)+('Lucy Levene'!F34=$C34)*ISNUMBER('Lucy Levene'!G34)*((('Lucy Levene'!G34+VisitHrs/24&gt;DayEnd)+('Lucy Levene'!G34&lt;DayStart))&gt;0)+('Tom Bock'!B34=$C34)*ISNUMBER('Tom Bock'!C34)*((('Tom Bock'!C34+VisitHrs/24&gt;DayEnd)+('Tom Bock'!C34&lt;DayStart))&gt;0)+('Tom Bock'!D34=$C34)*ISNUMBER('Tom Bock'!E34)*((('Tom Bock'!E34+VisitHrs/24&gt;DayEnd)+('Tom Bock'!E34&lt;DayStart))&gt;0)+('Tom Bock'!F34=$C34)*ISNUMBER('Tom Bock'!G34)*((('Tom Bock'!G34+VisitHrs/24&gt;DayEnd)+('Tom Bock'!G34&lt;DayStart))&gt;0)+(Jeremy!B34=$C34)*ISNUMBER(Jeremy!C34)*(((Jeremy!C34+VisitHrs/24&gt;DayEnd)+(Jeremy!C34&lt;DayStart))&gt;0)+(Jeremy!D34=$C34)*ISNUMBER(Jeremy!E34)*(((Jeremy!E34+VisitHrs/24&gt;DayEnd)+(Jeremy!E34&lt;DayStart))&gt;0)+(Jeremy!F34=$C34)*ISNUMBER(Jeremy!G34)*(((Jeremy!G34+VisitHrs/24&gt;DayEnd)+(Jeremy!G34&lt;DayStart))&gt;0)+('Test Patient'!B34=$C34)*ISNUMBER('Test Patient'!C34)*((('Test Patient'!C34+VisitHrs/24&gt;DayEnd)+('Test Patient'!C34&lt;DayStart))&gt;0)+('Test Patient'!D34=$C34)*ISNUMBER('Test Patient'!E34)*((('Test Patient'!E34+VisitHrs/24&gt;DayEnd)+('Test Patient'!E34&lt;DayStart))&gt;0)+('Test Patient'!F34=$C34)*ISNUMBER('Test Patient'!G34)*((('Test Patient'!G34+VisitHrs/24&gt;DayEnd)+('Test Patient'!G34&lt;DayStart))&gt;0))+((('Anita Klesch'!$C34=$C34)+('Test Patient 2'!$C34=$C34))-1)+($B34=$C34)*($C34&lt;&gt;"")&gt;=1,1,0),0)</f>
        <v>0</v>
      </c>
      <c r="L34" s="12"/>
      <c r="M34" s="12" t="str">
        <f t="shared" si="1"/>
        <v/>
      </c>
      <c r="N34" s="12" t="str">
        <f t="shared" si="2"/>
        <v/>
      </c>
    </row>
    <row r="35" spans="1:14" x14ac:dyDescent="0.2">
      <c r="A35" s="2">
        <f t="shared" si="3"/>
        <v>46241</v>
      </c>
      <c r="B35" s="3"/>
      <c r="C35" s="3"/>
      <c r="H35" s="12">
        <f t="shared" si="0"/>
        <v>0</v>
      </c>
      <c r="I35" s="12"/>
      <c r="J35" s="12">
        <f>IF(AND($H35=1,$B35&lt;&gt;""),IF((('Lucy Levene'!B35=$B35)*ISNUMBER('Lucy Levene'!C35)*('Lucy Levene'!C35&lt;DayEnd)*('Lucy Levene'!C35+VisitHrs/24&gt;DayStart)+('Lucy Levene'!D35=$B35)*ISNUMBER('Lucy Levene'!E35)*('Lucy Levene'!E35&lt;DayEnd)*('Lucy Levene'!E35+VisitHrs/24&gt;DayStart)+('Lucy Levene'!F35=$B35)*ISNUMBER('Lucy Levene'!G35)*('Lucy Levene'!G35&lt;DayEnd)*('Lucy Levene'!G35+VisitHrs/24&gt;DayStart)+('Tom Bock'!B35=$B35)*ISNUMBER('Tom Bock'!C35)*('Tom Bock'!C35&lt;DayEnd)*('Tom Bock'!C35+VisitHrs/24&gt;DayStart)+('Tom Bock'!D35=$B35)*ISNUMBER('Tom Bock'!E35)*('Tom Bock'!E35&lt;DayEnd)*('Tom Bock'!E35+VisitHrs/24&gt;DayStart)+('Tom Bock'!F35=$B35)*ISNUMBER('Tom Bock'!G35)*('Tom Bock'!G35&lt;DayEnd)*('Tom Bock'!G35+VisitHrs/24&gt;DayStart)+(Jeremy!B35=$B35)*ISNUMBER(Jeremy!C35)*(Jeremy!C35&lt;DayEnd)*(Jeremy!C35+VisitHrs/24&gt;DayStart)+(Jeremy!D35=$B35)*ISNUMBER(Jeremy!E35)*(Jeremy!E35&lt;DayEnd)*(Jeremy!E35+VisitHrs/24&gt;DayStart)+(Jeremy!F35=$B35)*ISNUMBER(Jeremy!G35)*(Jeremy!G35&lt;DayEnd)*(Jeremy!G35+VisitHrs/24&gt;DayStart)+('Test Patient'!B35=$B35)*ISNUMBER('Test Patient'!C35)*('Test Patient'!C35&lt;DayEnd)*('Test Patient'!C35+VisitHrs/24&gt;DayStart)+('Test Patient'!D35=$B35)*ISNUMBER('Test Patient'!E35)*('Test Patient'!E35&lt;DayEnd)*('Test Patient'!E35+VisitHrs/24&gt;DayStart)+('Test Patient'!F35=$B35)*ISNUMBER('Test Patient'!G35)*('Test Patient'!G35&lt;DayEnd)*('Test Patient'!G35+VisitHrs/24&gt;DayStart))+((('Anita Klesch'!$B35=$B35)+('Test Patient 2'!$B35=$B35))-1)+($C35=$B35)*($B35&lt;&gt;"")&gt;=1,1,0),0)</f>
        <v>0</v>
      </c>
      <c r="K35" s="12">
        <f>IF(AND($H35=1,$C35&lt;&gt;""),IF((('Lucy Levene'!B35=$C35)*ISNUMBER('Lucy Levene'!C35)*((('Lucy Levene'!C35+VisitHrs/24&gt;DayEnd)+('Lucy Levene'!C35&lt;DayStart))&gt;0)+('Lucy Levene'!D35=$C35)*ISNUMBER('Lucy Levene'!E35)*((('Lucy Levene'!E35+VisitHrs/24&gt;DayEnd)+('Lucy Levene'!E35&lt;DayStart))&gt;0)+('Lucy Levene'!F35=$C35)*ISNUMBER('Lucy Levene'!G35)*((('Lucy Levene'!G35+VisitHrs/24&gt;DayEnd)+('Lucy Levene'!G35&lt;DayStart))&gt;0)+('Tom Bock'!B35=$C35)*ISNUMBER('Tom Bock'!C35)*((('Tom Bock'!C35+VisitHrs/24&gt;DayEnd)+('Tom Bock'!C35&lt;DayStart))&gt;0)+('Tom Bock'!D35=$C35)*ISNUMBER('Tom Bock'!E35)*((('Tom Bock'!E35+VisitHrs/24&gt;DayEnd)+('Tom Bock'!E35&lt;DayStart))&gt;0)+('Tom Bock'!F35=$C35)*ISNUMBER('Tom Bock'!G35)*((('Tom Bock'!G35+VisitHrs/24&gt;DayEnd)+('Tom Bock'!G35&lt;DayStart))&gt;0)+(Jeremy!B35=$C35)*ISNUMBER(Jeremy!C35)*(((Jeremy!C35+VisitHrs/24&gt;DayEnd)+(Jeremy!C35&lt;DayStart))&gt;0)+(Jeremy!D35=$C35)*ISNUMBER(Jeremy!E35)*(((Jeremy!E35+VisitHrs/24&gt;DayEnd)+(Jeremy!E35&lt;DayStart))&gt;0)+(Jeremy!F35=$C35)*ISNUMBER(Jeremy!G35)*(((Jeremy!G35+VisitHrs/24&gt;DayEnd)+(Jeremy!G35&lt;DayStart))&gt;0)+('Test Patient'!B35=$C35)*ISNUMBER('Test Patient'!C35)*((('Test Patient'!C35+VisitHrs/24&gt;DayEnd)+('Test Patient'!C35&lt;DayStart))&gt;0)+('Test Patient'!D35=$C35)*ISNUMBER('Test Patient'!E35)*((('Test Patient'!E35+VisitHrs/24&gt;DayEnd)+('Test Patient'!E35&lt;DayStart))&gt;0)+('Test Patient'!F35=$C35)*ISNUMBER('Test Patient'!G35)*((('Test Patient'!G35+VisitHrs/24&gt;DayEnd)+('Test Patient'!G35&lt;DayStart))&gt;0))+((('Anita Klesch'!$C35=$C35)+('Test Patient 2'!$C35=$C35))-1)+($B35=$C35)*($C35&lt;&gt;"")&gt;=1,1,0),0)</f>
        <v>0</v>
      </c>
      <c r="L35" s="12"/>
      <c r="M35" s="12" t="str">
        <f t="shared" si="1"/>
        <v/>
      </c>
      <c r="N35" s="12" t="str">
        <f t="shared" si="2"/>
        <v/>
      </c>
    </row>
    <row r="36" spans="1:14" x14ac:dyDescent="0.2">
      <c r="A36" s="2">
        <f t="shared" si="3"/>
        <v>46242</v>
      </c>
      <c r="B36" s="3"/>
      <c r="C36" s="3"/>
      <c r="H36" s="12">
        <f t="shared" si="0"/>
        <v>0</v>
      </c>
      <c r="I36" s="12"/>
      <c r="J36" s="12">
        <f>IF(AND($H36=1,$B36&lt;&gt;""),IF((('Lucy Levene'!B36=$B36)*ISNUMBER('Lucy Levene'!C36)*('Lucy Levene'!C36&lt;DayEnd)*('Lucy Levene'!C36+VisitHrs/24&gt;DayStart)+('Lucy Levene'!D36=$B36)*ISNUMBER('Lucy Levene'!E36)*('Lucy Levene'!E36&lt;DayEnd)*('Lucy Levene'!E36+VisitHrs/24&gt;DayStart)+('Lucy Levene'!F36=$B36)*ISNUMBER('Lucy Levene'!G36)*('Lucy Levene'!G36&lt;DayEnd)*('Lucy Levene'!G36+VisitHrs/24&gt;DayStart)+('Tom Bock'!B36=$B36)*ISNUMBER('Tom Bock'!C36)*('Tom Bock'!C36&lt;DayEnd)*('Tom Bock'!C36+VisitHrs/24&gt;DayStart)+('Tom Bock'!D36=$B36)*ISNUMBER('Tom Bock'!E36)*('Tom Bock'!E36&lt;DayEnd)*('Tom Bock'!E36+VisitHrs/24&gt;DayStart)+('Tom Bock'!F36=$B36)*ISNUMBER('Tom Bock'!G36)*('Tom Bock'!G36&lt;DayEnd)*('Tom Bock'!G36+VisitHrs/24&gt;DayStart)+(Jeremy!B36=$B36)*ISNUMBER(Jeremy!C36)*(Jeremy!C36&lt;DayEnd)*(Jeremy!C36+VisitHrs/24&gt;DayStart)+(Jeremy!D36=$B36)*ISNUMBER(Jeremy!E36)*(Jeremy!E36&lt;DayEnd)*(Jeremy!E36+VisitHrs/24&gt;DayStart)+(Jeremy!F36=$B36)*ISNUMBER(Jeremy!G36)*(Jeremy!G36&lt;DayEnd)*(Jeremy!G36+VisitHrs/24&gt;DayStart)+('Test Patient'!B36=$B36)*ISNUMBER('Test Patient'!C36)*('Test Patient'!C36&lt;DayEnd)*('Test Patient'!C36+VisitHrs/24&gt;DayStart)+('Test Patient'!D36=$B36)*ISNUMBER('Test Patient'!E36)*('Test Patient'!E36&lt;DayEnd)*('Test Patient'!E36+VisitHrs/24&gt;DayStart)+('Test Patient'!F36=$B36)*ISNUMBER('Test Patient'!G36)*('Test Patient'!G36&lt;DayEnd)*('Test Patient'!G36+VisitHrs/24&gt;DayStart))+((('Anita Klesch'!$B36=$B36)+('Test Patient 2'!$B36=$B36))-1)+($C36=$B36)*($B36&lt;&gt;"")&gt;=1,1,0),0)</f>
        <v>0</v>
      </c>
      <c r="K36" s="12">
        <f>IF(AND($H36=1,$C36&lt;&gt;""),IF((('Lucy Levene'!B36=$C36)*ISNUMBER('Lucy Levene'!C36)*((('Lucy Levene'!C36+VisitHrs/24&gt;DayEnd)+('Lucy Levene'!C36&lt;DayStart))&gt;0)+('Lucy Levene'!D36=$C36)*ISNUMBER('Lucy Levene'!E36)*((('Lucy Levene'!E36+VisitHrs/24&gt;DayEnd)+('Lucy Levene'!E36&lt;DayStart))&gt;0)+('Lucy Levene'!F36=$C36)*ISNUMBER('Lucy Levene'!G36)*((('Lucy Levene'!G36+VisitHrs/24&gt;DayEnd)+('Lucy Levene'!G36&lt;DayStart))&gt;0)+('Tom Bock'!B36=$C36)*ISNUMBER('Tom Bock'!C36)*((('Tom Bock'!C36+VisitHrs/24&gt;DayEnd)+('Tom Bock'!C36&lt;DayStart))&gt;0)+('Tom Bock'!D36=$C36)*ISNUMBER('Tom Bock'!E36)*((('Tom Bock'!E36+VisitHrs/24&gt;DayEnd)+('Tom Bock'!E36&lt;DayStart))&gt;0)+('Tom Bock'!F36=$C36)*ISNUMBER('Tom Bock'!G36)*((('Tom Bock'!G36+VisitHrs/24&gt;DayEnd)+('Tom Bock'!G36&lt;DayStart))&gt;0)+(Jeremy!B36=$C36)*ISNUMBER(Jeremy!C36)*(((Jeremy!C36+VisitHrs/24&gt;DayEnd)+(Jeremy!C36&lt;DayStart))&gt;0)+(Jeremy!D36=$C36)*ISNUMBER(Jeremy!E36)*(((Jeremy!E36+VisitHrs/24&gt;DayEnd)+(Jeremy!E36&lt;DayStart))&gt;0)+(Jeremy!F36=$C36)*ISNUMBER(Jeremy!G36)*(((Jeremy!G36+VisitHrs/24&gt;DayEnd)+(Jeremy!G36&lt;DayStart))&gt;0)+('Test Patient'!B36=$C36)*ISNUMBER('Test Patient'!C36)*((('Test Patient'!C36+VisitHrs/24&gt;DayEnd)+('Test Patient'!C36&lt;DayStart))&gt;0)+('Test Patient'!D36=$C36)*ISNUMBER('Test Patient'!E36)*((('Test Patient'!E36+VisitHrs/24&gt;DayEnd)+('Test Patient'!E36&lt;DayStart))&gt;0)+('Test Patient'!F36=$C36)*ISNUMBER('Test Patient'!G36)*((('Test Patient'!G36+VisitHrs/24&gt;DayEnd)+('Test Patient'!G36&lt;DayStart))&gt;0))+((('Anita Klesch'!$C36=$C36)+('Test Patient 2'!$C36=$C36))-1)+($B36=$C36)*($C36&lt;&gt;"")&gt;=1,1,0),0)</f>
        <v>0</v>
      </c>
      <c r="L36" s="12"/>
      <c r="M36" s="12" t="str">
        <f t="shared" si="1"/>
        <v/>
      </c>
      <c r="N36" s="12" t="str">
        <f t="shared" si="2"/>
        <v/>
      </c>
    </row>
    <row r="37" spans="1:14" x14ac:dyDescent="0.2">
      <c r="A37" s="2">
        <f t="shared" si="3"/>
        <v>46243</v>
      </c>
      <c r="B37" s="3"/>
      <c r="C37" s="3"/>
      <c r="H37" s="12">
        <f t="shared" si="0"/>
        <v>0</v>
      </c>
      <c r="I37" s="12"/>
      <c r="J37" s="12">
        <f>IF(AND($H37=1,$B37&lt;&gt;""),IF((('Lucy Levene'!B37=$B37)*ISNUMBER('Lucy Levene'!C37)*('Lucy Levene'!C37&lt;DayEnd)*('Lucy Levene'!C37+VisitHrs/24&gt;DayStart)+('Lucy Levene'!D37=$B37)*ISNUMBER('Lucy Levene'!E37)*('Lucy Levene'!E37&lt;DayEnd)*('Lucy Levene'!E37+VisitHrs/24&gt;DayStart)+('Lucy Levene'!F37=$B37)*ISNUMBER('Lucy Levene'!G37)*('Lucy Levene'!G37&lt;DayEnd)*('Lucy Levene'!G37+VisitHrs/24&gt;DayStart)+('Tom Bock'!B37=$B37)*ISNUMBER('Tom Bock'!C37)*('Tom Bock'!C37&lt;DayEnd)*('Tom Bock'!C37+VisitHrs/24&gt;DayStart)+('Tom Bock'!D37=$B37)*ISNUMBER('Tom Bock'!E37)*('Tom Bock'!E37&lt;DayEnd)*('Tom Bock'!E37+VisitHrs/24&gt;DayStart)+('Tom Bock'!F37=$B37)*ISNUMBER('Tom Bock'!G37)*('Tom Bock'!G37&lt;DayEnd)*('Tom Bock'!G37+VisitHrs/24&gt;DayStart)+(Jeremy!B37=$B37)*ISNUMBER(Jeremy!C37)*(Jeremy!C37&lt;DayEnd)*(Jeremy!C37+VisitHrs/24&gt;DayStart)+(Jeremy!D37=$B37)*ISNUMBER(Jeremy!E37)*(Jeremy!E37&lt;DayEnd)*(Jeremy!E37+VisitHrs/24&gt;DayStart)+(Jeremy!F37=$B37)*ISNUMBER(Jeremy!G37)*(Jeremy!G37&lt;DayEnd)*(Jeremy!G37+VisitHrs/24&gt;DayStart)+('Test Patient'!B37=$B37)*ISNUMBER('Test Patient'!C37)*('Test Patient'!C37&lt;DayEnd)*('Test Patient'!C37+VisitHrs/24&gt;DayStart)+('Test Patient'!D37=$B37)*ISNUMBER('Test Patient'!E37)*('Test Patient'!E37&lt;DayEnd)*('Test Patient'!E37+VisitHrs/24&gt;DayStart)+('Test Patient'!F37=$B37)*ISNUMBER('Test Patient'!G37)*('Test Patient'!G37&lt;DayEnd)*('Test Patient'!G37+VisitHrs/24&gt;DayStart))+((('Anita Klesch'!$B37=$B37)+('Test Patient 2'!$B37=$B37))-1)+($C37=$B37)*($B37&lt;&gt;"")&gt;=1,1,0),0)</f>
        <v>0</v>
      </c>
      <c r="K37" s="12">
        <f>IF(AND($H37=1,$C37&lt;&gt;""),IF((('Lucy Levene'!B37=$C37)*ISNUMBER('Lucy Levene'!C37)*((('Lucy Levene'!C37+VisitHrs/24&gt;DayEnd)+('Lucy Levene'!C37&lt;DayStart))&gt;0)+('Lucy Levene'!D37=$C37)*ISNUMBER('Lucy Levene'!E37)*((('Lucy Levene'!E37+VisitHrs/24&gt;DayEnd)+('Lucy Levene'!E37&lt;DayStart))&gt;0)+('Lucy Levene'!F37=$C37)*ISNUMBER('Lucy Levene'!G37)*((('Lucy Levene'!G37+VisitHrs/24&gt;DayEnd)+('Lucy Levene'!G37&lt;DayStart))&gt;0)+('Tom Bock'!B37=$C37)*ISNUMBER('Tom Bock'!C37)*((('Tom Bock'!C37+VisitHrs/24&gt;DayEnd)+('Tom Bock'!C37&lt;DayStart))&gt;0)+('Tom Bock'!D37=$C37)*ISNUMBER('Tom Bock'!E37)*((('Tom Bock'!E37+VisitHrs/24&gt;DayEnd)+('Tom Bock'!E37&lt;DayStart))&gt;0)+('Tom Bock'!F37=$C37)*ISNUMBER('Tom Bock'!G37)*((('Tom Bock'!G37+VisitHrs/24&gt;DayEnd)+('Tom Bock'!G37&lt;DayStart))&gt;0)+(Jeremy!B37=$C37)*ISNUMBER(Jeremy!C37)*(((Jeremy!C37+VisitHrs/24&gt;DayEnd)+(Jeremy!C37&lt;DayStart))&gt;0)+(Jeremy!D37=$C37)*ISNUMBER(Jeremy!E37)*(((Jeremy!E37+VisitHrs/24&gt;DayEnd)+(Jeremy!E37&lt;DayStart))&gt;0)+(Jeremy!F37=$C37)*ISNUMBER(Jeremy!G37)*(((Jeremy!G37+VisitHrs/24&gt;DayEnd)+(Jeremy!G37&lt;DayStart))&gt;0)+('Test Patient'!B37=$C37)*ISNUMBER('Test Patient'!C37)*((('Test Patient'!C37+VisitHrs/24&gt;DayEnd)+('Test Patient'!C37&lt;DayStart))&gt;0)+('Test Patient'!D37=$C37)*ISNUMBER('Test Patient'!E37)*((('Test Patient'!E37+VisitHrs/24&gt;DayEnd)+('Test Patient'!E37&lt;DayStart))&gt;0)+('Test Patient'!F37=$C37)*ISNUMBER('Test Patient'!G37)*((('Test Patient'!G37+VisitHrs/24&gt;DayEnd)+('Test Patient'!G37&lt;DayStart))&gt;0))+((('Anita Klesch'!$C37=$C37)+('Test Patient 2'!$C37=$C37))-1)+($B37=$C37)*($C37&lt;&gt;"")&gt;=1,1,0),0)</f>
        <v>0</v>
      </c>
      <c r="L37" s="12"/>
      <c r="M37" s="12" t="str">
        <f t="shared" si="1"/>
        <v/>
      </c>
      <c r="N37" s="12" t="str">
        <f t="shared" si="2"/>
        <v/>
      </c>
    </row>
    <row r="38" spans="1:14" x14ac:dyDescent="0.2">
      <c r="A38" s="2">
        <f t="shared" si="3"/>
        <v>46244</v>
      </c>
      <c r="B38" s="3"/>
      <c r="C38" s="3"/>
      <c r="H38" s="12">
        <f t="shared" si="0"/>
        <v>0</v>
      </c>
      <c r="I38" s="12"/>
      <c r="J38" s="12">
        <f>IF(AND($H38=1,$B38&lt;&gt;""),IF((('Lucy Levene'!B38=$B38)*ISNUMBER('Lucy Levene'!C38)*('Lucy Levene'!C38&lt;DayEnd)*('Lucy Levene'!C38+VisitHrs/24&gt;DayStart)+('Lucy Levene'!D38=$B38)*ISNUMBER('Lucy Levene'!E38)*('Lucy Levene'!E38&lt;DayEnd)*('Lucy Levene'!E38+VisitHrs/24&gt;DayStart)+('Lucy Levene'!F38=$B38)*ISNUMBER('Lucy Levene'!G38)*('Lucy Levene'!G38&lt;DayEnd)*('Lucy Levene'!G38+VisitHrs/24&gt;DayStart)+('Tom Bock'!B38=$B38)*ISNUMBER('Tom Bock'!C38)*('Tom Bock'!C38&lt;DayEnd)*('Tom Bock'!C38+VisitHrs/24&gt;DayStart)+('Tom Bock'!D38=$B38)*ISNUMBER('Tom Bock'!E38)*('Tom Bock'!E38&lt;DayEnd)*('Tom Bock'!E38+VisitHrs/24&gt;DayStart)+('Tom Bock'!F38=$B38)*ISNUMBER('Tom Bock'!G38)*('Tom Bock'!G38&lt;DayEnd)*('Tom Bock'!G38+VisitHrs/24&gt;DayStart)+(Jeremy!B38=$B38)*ISNUMBER(Jeremy!C38)*(Jeremy!C38&lt;DayEnd)*(Jeremy!C38+VisitHrs/24&gt;DayStart)+(Jeremy!D38=$B38)*ISNUMBER(Jeremy!E38)*(Jeremy!E38&lt;DayEnd)*(Jeremy!E38+VisitHrs/24&gt;DayStart)+(Jeremy!F38=$B38)*ISNUMBER(Jeremy!G38)*(Jeremy!G38&lt;DayEnd)*(Jeremy!G38+VisitHrs/24&gt;DayStart)+('Test Patient'!B38=$B38)*ISNUMBER('Test Patient'!C38)*('Test Patient'!C38&lt;DayEnd)*('Test Patient'!C38+VisitHrs/24&gt;DayStart)+('Test Patient'!D38=$B38)*ISNUMBER('Test Patient'!E38)*('Test Patient'!E38&lt;DayEnd)*('Test Patient'!E38+VisitHrs/24&gt;DayStart)+('Test Patient'!F38=$B38)*ISNUMBER('Test Patient'!G38)*('Test Patient'!G38&lt;DayEnd)*('Test Patient'!G38+VisitHrs/24&gt;DayStart))+((('Anita Klesch'!$B38=$B38)+('Test Patient 2'!$B38=$B38))-1)+($C38=$B38)*($B38&lt;&gt;"")&gt;=1,1,0),0)</f>
        <v>0</v>
      </c>
      <c r="K38" s="12">
        <f>IF(AND($H38=1,$C38&lt;&gt;""),IF((('Lucy Levene'!B38=$C38)*ISNUMBER('Lucy Levene'!C38)*((('Lucy Levene'!C38+VisitHrs/24&gt;DayEnd)+('Lucy Levene'!C38&lt;DayStart))&gt;0)+('Lucy Levene'!D38=$C38)*ISNUMBER('Lucy Levene'!E38)*((('Lucy Levene'!E38+VisitHrs/24&gt;DayEnd)+('Lucy Levene'!E38&lt;DayStart))&gt;0)+('Lucy Levene'!F38=$C38)*ISNUMBER('Lucy Levene'!G38)*((('Lucy Levene'!G38+VisitHrs/24&gt;DayEnd)+('Lucy Levene'!G38&lt;DayStart))&gt;0)+('Tom Bock'!B38=$C38)*ISNUMBER('Tom Bock'!C38)*((('Tom Bock'!C38+VisitHrs/24&gt;DayEnd)+('Tom Bock'!C38&lt;DayStart))&gt;0)+('Tom Bock'!D38=$C38)*ISNUMBER('Tom Bock'!E38)*((('Tom Bock'!E38+VisitHrs/24&gt;DayEnd)+('Tom Bock'!E38&lt;DayStart))&gt;0)+('Tom Bock'!F38=$C38)*ISNUMBER('Tom Bock'!G38)*((('Tom Bock'!G38+VisitHrs/24&gt;DayEnd)+('Tom Bock'!G38&lt;DayStart))&gt;0)+(Jeremy!B38=$C38)*ISNUMBER(Jeremy!C38)*(((Jeremy!C38+VisitHrs/24&gt;DayEnd)+(Jeremy!C38&lt;DayStart))&gt;0)+(Jeremy!D38=$C38)*ISNUMBER(Jeremy!E38)*(((Jeremy!E38+VisitHrs/24&gt;DayEnd)+(Jeremy!E38&lt;DayStart))&gt;0)+(Jeremy!F38=$C38)*ISNUMBER(Jeremy!G38)*(((Jeremy!G38+VisitHrs/24&gt;DayEnd)+(Jeremy!G38&lt;DayStart))&gt;0)+('Test Patient'!B38=$C38)*ISNUMBER('Test Patient'!C38)*((('Test Patient'!C38+VisitHrs/24&gt;DayEnd)+('Test Patient'!C38&lt;DayStart))&gt;0)+('Test Patient'!D38=$C38)*ISNUMBER('Test Patient'!E38)*((('Test Patient'!E38+VisitHrs/24&gt;DayEnd)+('Test Patient'!E38&lt;DayStart))&gt;0)+('Test Patient'!F38=$C38)*ISNUMBER('Test Patient'!G38)*((('Test Patient'!G38+VisitHrs/24&gt;DayEnd)+('Test Patient'!G38&lt;DayStart))&gt;0))+((('Anita Klesch'!$C38=$C38)+('Test Patient 2'!$C38=$C38))-1)+($B38=$C38)*($C38&lt;&gt;"")&gt;=1,1,0),0)</f>
        <v>0</v>
      </c>
      <c r="L38" s="12"/>
      <c r="M38" s="12" t="str">
        <f t="shared" si="1"/>
        <v/>
      </c>
      <c r="N38" s="12" t="str">
        <f t="shared" si="2"/>
        <v/>
      </c>
    </row>
    <row r="39" spans="1:14" x14ac:dyDescent="0.2">
      <c r="A39" s="2">
        <f t="shared" si="3"/>
        <v>46245</v>
      </c>
      <c r="B39" s="3"/>
      <c r="C39" s="3"/>
      <c r="H39" s="12">
        <f t="shared" si="0"/>
        <v>0</v>
      </c>
      <c r="I39" s="12"/>
      <c r="J39" s="12">
        <f>IF(AND($H39=1,$B39&lt;&gt;""),IF((('Lucy Levene'!B39=$B39)*ISNUMBER('Lucy Levene'!C39)*('Lucy Levene'!C39&lt;DayEnd)*('Lucy Levene'!C39+VisitHrs/24&gt;DayStart)+('Lucy Levene'!D39=$B39)*ISNUMBER('Lucy Levene'!E39)*('Lucy Levene'!E39&lt;DayEnd)*('Lucy Levene'!E39+VisitHrs/24&gt;DayStart)+('Lucy Levene'!F39=$B39)*ISNUMBER('Lucy Levene'!G39)*('Lucy Levene'!G39&lt;DayEnd)*('Lucy Levene'!G39+VisitHrs/24&gt;DayStart)+('Tom Bock'!B39=$B39)*ISNUMBER('Tom Bock'!C39)*('Tom Bock'!C39&lt;DayEnd)*('Tom Bock'!C39+VisitHrs/24&gt;DayStart)+('Tom Bock'!D39=$B39)*ISNUMBER('Tom Bock'!E39)*('Tom Bock'!E39&lt;DayEnd)*('Tom Bock'!E39+VisitHrs/24&gt;DayStart)+('Tom Bock'!F39=$B39)*ISNUMBER('Tom Bock'!G39)*('Tom Bock'!G39&lt;DayEnd)*('Tom Bock'!G39+VisitHrs/24&gt;DayStart)+(Jeremy!B39=$B39)*ISNUMBER(Jeremy!C39)*(Jeremy!C39&lt;DayEnd)*(Jeremy!C39+VisitHrs/24&gt;DayStart)+(Jeremy!D39=$B39)*ISNUMBER(Jeremy!E39)*(Jeremy!E39&lt;DayEnd)*(Jeremy!E39+VisitHrs/24&gt;DayStart)+(Jeremy!F39=$B39)*ISNUMBER(Jeremy!G39)*(Jeremy!G39&lt;DayEnd)*(Jeremy!G39+VisitHrs/24&gt;DayStart)+('Test Patient'!B39=$B39)*ISNUMBER('Test Patient'!C39)*('Test Patient'!C39&lt;DayEnd)*('Test Patient'!C39+VisitHrs/24&gt;DayStart)+('Test Patient'!D39=$B39)*ISNUMBER('Test Patient'!E39)*('Test Patient'!E39&lt;DayEnd)*('Test Patient'!E39+VisitHrs/24&gt;DayStart)+('Test Patient'!F39=$B39)*ISNUMBER('Test Patient'!G39)*('Test Patient'!G39&lt;DayEnd)*('Test Patient'!G39+VisitHrs/24&gt;DayStart))+((('Anita Klesch'!$B39=$B39)+('Test Patient 2'!$B39=$B39))-1)+($C39=$B39)*($B39&lt;&gt;"")&gt;=1,1,0),0)</f>
        <v>0</v>
      </c>
      <c r="K39" s="12">
        <f>IF(AND($H39=1,$C39&lt;&gt;""),IF((('Lucy Levene'!B39=$C39)*ISNUMBER('Lucy Levene'!C39)*((('Lucy Levene'!C39+VisitHrs/24&gt;DayEnd)+('Lucy Levene'!C39&lt;DayStart))&gt;0)+('Lucy Levene'!D39=$C39)*ISNUMBER('Lucy Levene'!E39)*((('Lucy Levene'!E39+VisitHrs/24&gt;DayEnd)+('Lucy Levene'!E39&lt;DayStart))&gt;0)+('Lucy Levene'!F39=$C39)*ISNUMBER('Lucy Levene'!G39)*((('Lucy Levene'!G39+VisitHrs/24&gt;DayEnd)+('Lucy Levene'!G39&lt;DayStart))&gt;0)+('Tom Bock'!B39=$C39)*ISNUMBER('Tom Bock'!C39)*((('Tom Bock'!C39+VisitHrs/24&gt;DayEnd)+('Tom Bock'!C39&lt;DayStart))&gt;0)+('Tom Bock'!D39=$C39)*ISNUMBER('Tom Bock'!E39)*((('Tom Bock'!E39+VisitHrs/24&gt;DayEnd)+('Tom Bock'!E39&lt;DayStart))&gt;0)+('Tom Bock'!F39=$C39)*ISNUMBER('Tom Bock'!G39)*((('Tom Bock'!G39+VisitHrs/24&gt;DayEnd)+('Tom Bock'!G39&lt;DayStart))&gt;0)+(Jeremy!B39=$C39)*ISNUMBER(Jeremy!C39)*(((Jeremy!C39+VisitHrs/24&gt;DayEnd)+(Jeremy!C39&lt;DayStart))&gt;0)+(Jeremy!D39=$C39)*ISNUMBER(Jeremy!E39)*(((Jeremy!E39+VisitHrs/24&gt;DayEnd)+(Jeremy!E39&lt;DayStart))&gt;0)+(Jeremy!F39=$C39)*ISNUMBER(Jeremy!G39)*(((Jeremy!G39+VisitHrs/24&gt;DayEnd)+(Jeremy!G39&lt;DayStart))&gt;0)+('Test Patient'!B39=$C39)*ISNUMBER('Test Patient'!C39)*((('Test Patient'!C39+VisitHrs/24&gt;DayEnd)+('Test Patient'!C39&lt;DayStart))&gt;0)+('Test Patient'!D39=$C39)*ISNUMBER('Test Patient'!E39)*((('Test Patient'!E39+VisitHrs/24&gt;DayEnd)+('Test Patient'!E39&lt;DayStart))&gt;0)+('Test Patient'!F39=$C39)*ISNUMBER('Test Patient'!G39)*((('Test Patient'!G39+VisitHrs/24&gt;DayEnd)+('Test Patient'!G39&lt;DayStart))&gt;0))+((('Anita Klesch'!$C39=$C39)+('Test Patient 2'!$C39=$C39))-1)+($B39=$C39)*($C39&lt;&gt;"")&gt;=1,1,0),0)</f>
        <v>0</v>
      </c>
      <c r="L39" s="12"/>
      <c r="M39" s="12" t="str">
        <f t="shared" si="1"/>
        <v/>
      </c>
      <c r="N39" s="12" t="str">
        <f t="shared" si="2"/>
        <v/>
      </c>
    </row>
    <row r="40" spans="1:14" x14ac:dyDescent="0.2">
      <c r="A40" s="2">
        <f t="shared" si="3"/>
        <v>46246</v>
      </c>
      <c r="B40" s="3"/>
      <c r="C40" s="3"/>
      <c r="H40" s="12">
        <f t="shared" si="0"/>
        <v>0</v>
      </c>
      <c r="I40" s="12"/>
      <c r="J40" s="12">
        <f>IF(AND($H40=1,$B40&lt;&gt;""),IF((('Lucy Levene'!B40=$B40)*ISNUMBER('Lucy Levene'!C40)*('Lucy Levene'!C40&lt;DayEnd)*('Lucy Levene'!C40+VisitHrs/24&gt;DayStart)+('Lucy Levene'!D40=$B40)*ISNUMBER('Lucy Levene'!E40)*('Lucy Levene'!E40&lt;DayEnd)*('Lucy Levene'!E40+VisitHrs/24&gt;DayStart)+('Lucy Levene'!F40=$B40)*ISNUMBER('Lucy Levene'!G40)*('Lucy Levene'!G40&lt;DayEnd)*('Lucy Levene'!G40+VisitHrs/24&gt;DayStart)+('Tom Bock'!B40=$B40)*ISNUMBER('Tom Bock'!C40)*('Tom Bock'!C40&lt;DayEnd)*('Tom Bock'!C40+VisitHrs/24&gt;DayStart)+('Tom Bock'!D40=$B40)*ISNUMBER('Tom Bock'!E40)*('Tom Bock'!E40&lt;DayEnd)*('Tom Bock'!E40+VisitHrs/24&gt;DayStart)+('Tom Bock'!F40=$B40)*ISNUMBER('Tom Bock'!G40)*('Tom Bock'!G40&lt;DayEnd)*('Tom Bock'!G40+VisitHrs/24&gt;DayStart)+(Jeremy!B40=$B40)*ISNUMBER(Jeremy!C40)*(Jeremy!C40&lt;DayEnd)*(Jeremy!C40+VisitHrs/24&gt;DayStart)+(Jeremy!D40=$B40)*ISNUMBER(Jeremy!E40)*(Jeremy!E40&lt;DayEnd)*(Jeremy!E40+VisitHrs/24&gt;DayStart)+(Jeremy!F40=$B40)*ISNUMBER(Jeremy!G40)*(Jeremy!G40&lt;DayEnd)*(Jeremy!G40+VisitHrs/24&gt;DayStart)+('Test Patient'!B40=$B40)*ISNUMBER('Test Patient'!C40)*('Test Patient'!C40&lt;DayEnd)*('Test Patient'!C40+VisitHrs/24&gt;DayStart)+('Test Patient'!D40=$B40)*ISNUMBER('Test Patient'!E40)*('Test Patient'!E40&lt;DayEnd)*('Test Patient'!E40+VisitHrs/24&gt;DayStart)+('Test Patient'!F40=$B40)*ISNUMBER('Test Patient'!G40)*('Test Patient'!G40&lt;DayEnd)*('Test Patient'!G40+VisitHrs/24&gt;DayStart))+((('Anita Klesch'!$B40=$B40)+('Test Patient 2'!$B40=$B40))-1)+($C40=$B40)*($B40&lt;&gt;"")&gt;=1,1,0),0)</f>
        <v>0</v>
      </c>
      <c r="K40" s="12">
        <f>IF(AND($H40=1,$C40&lt;&gt;""),IF((('Lucy Levene'!B40=$C40)*ISNUMBER('Lucy Levene'!C40)*((('Lucy Levene'!C40+VisitHrs/24&gt;DayEnd)+('Lucy Levene'!C40&lt;DayStart))&gt;0)+('Lucy Levene'!D40=$C40)*ISNUMBER('Lucy Levene'!E40)*((('Lucy Levene'!E40+VisitHrs/24&gt;DayEnd)+('Lucy Levene'!E40&lt;DayStart))&gt;0)+('Lucy Levene'!F40=$C40)*ISNUMBER('Lucy Levene'!G40)*((('Lucy Levene'!G40+VisitHrs/24&gt;DayEnd)+('Lucy Levene'!G40&lt;DayStart))&gt;0)+('Tom Bock'!B40=$C40)*ISNUMBER('Tom Bock'!C40)*((('Tom Bock'!C40+VisitHrs/24&gt;DayEnd)+('Tom Bock'!C40&lt;DayStart))&gt;0)+('Tom Bock'!D40=$C40)*ISNUMBER('Tom Bock'!E40)*((('Tom Bock'!E40+VisitHrs/24&gt;DayEnd)+('Tom Bock'!E40&lt;DayStart))&gt;0)+('Tom Bock'!F40=$C40)*ISNUMBER('Tom Bock'!G40)*((('Tom Bock'!G40+VisitHrs/24&gt;DayEnd)+('Tom Bock'!G40&lt;DayStart))&gt;0)+(Jeremy!B40=$C40)*ISNUMBER(Jeremy!C40)*(((Jeremy!C40+VisitHrs/24&gt;DayEnd)+(Jeremy!C40&lt;DayStart))&gt;0)+(Jeremy!D40=$C40)*ISNUMBER(Jeremy!E40)*(((Jeremy!E40+VisitHrs/24&gt;DayEnd)+(Jeremy!E40&lt;DayStart))&gt;0)+(Jeremy!F40=$C40)*ISNUMBER(Jeremy!G40)*(((Jeremy!G40+VisitHrs/24&gt;DayEnd)+(Jeremy!G40&lt;DayStart))&gt;0)+('Test Patient'!B40=$C40)*ISNUMBER('Test Patient'!C40)*((('Test Patient'!C40+VisitHrs/24&gt;DayEnd)+('Test Patient'!C40&lt;DayStart))&gt;0)+('Test Patient'!D40=$C40)*ISNUMBER('Test Patient'!E40)*((('Test Patient'!E40+VisitHrs/24&gt;DayEnd)+('Test Patient'!E40&lt;DayStart))&gt;0)+('Test Patient'!F40=$C40)*ISNUMBER('Test Patient'!G40)*((('Test Patient'!G40+VisitHrs/24&gt;DayEnd)+('Test Patient'!G40&lt;DayStart))&gt;0))+((('Anita Klesch'!$C40=$C40)+('Test Patient 2'!$C40=$C40))-1)+($B40=$C40)*($C40&lt;&gt;"")&gt;=1,1,0),0)</f>
        <v>0</v>
      </c>
      <c r="L40" s="12"/>
      <c r="M40" s="12" t="str">
        <f t="shared" si="1"/>
        <v/>
      </c>
      <c r="N40" s="12" t="str">
        <f t="shared" si="2"/>
        <v/>
      </c>
    </row>
    <row r="41" spans="1:14" x14ac:dyDescent="0.2">
      <c r="A41" s="2">
        <f t="shared" si="3"/>
        <v>46247</v>
      </c>
      <c r="B41" s="3"/>
      <c r="C41" s="3"/>
      <c r="H41" s="12">
        <f t="shared" si="0"/>
        <v>0</v>
      </c>
      <c r="I41" s="12"/>
      <c r="J41" s="12">
        <f>IF(AND($H41=1,$B41&lt;&gt;""),IF((('Lucy Levene'!B41=$B41)*ISNUMBER('Lucy Levene'!C41)*('Lucy Levene'!C41&lt;DayEnd)*('Lucy Levene'!C41+VisitHrs/24&gt;DayStart)+('Lucy Levene'!D41=$B41)*ISNUMBER('Lucy Levene'!E41)*('Lucy Levene'!E41&lt;DayEnd)*('Lucy Levene'!E41+VisitHrs/24&gt;DayStart)+('Lucy Levene'!F41=$B41)*ISNUMBER('Lucy Levene'!G41)*('Lucy Levene'!G41&lt;DayEnd)*('Lucy Levene'!G41+VisitHrs/24&gt;DayStart)+('Tom Bock'!B41=$B41)*ISNUMBER('Tom Bock'!C41)*('Tom Bock'!C41&lt;DayEnd)*('Tom Bock'!C41+VisitHrs/24&gt;DayStart)+('Tom Bock'!D41=$B41)*ISNUMBER('Tom Bock'!E41)*('Tom Bock'!E41&lt;DayEnd)*('Tom Bock'!E41+VisitHrs/24&gt;DayStart)+('Tom Bock'!F41=$B41)*ISNUMBER('Tom Bock'!G41)*('Tom Bock'!G41&lt;DayEnd)*('Tom Bock'!G41+VisitHrs/24&gt;DayStart)+(Jeremy!B41=$B41)*ISNUMBER(Jeremy!C41)*(Jeremy!C41&lt;DayEnd)*(Jeremy!C41+VisitHrs/24&gt;DayStart)+(Jeremy!D41=$B41)*ISNUMBER(Jeremy!E41)*(Jeremy!E41&lt;DayEnd)*(Jeremy!E41+VisitHrs/24&gt;DayStart)+(Jeremy!F41=$B41)*ISNUMBER(Jeremy!G41)*(Jeremy!G41&lt;DayEnd)*(Jeremy!G41+VisitHrs/24&gt;DayStart)+('Test Patient'!B41=$B41)*ISNUMBER('Test Patient'!C41)*('Test Patient'!C41&lt;DayEnd)*('Test Patient'!C41+VisitHrs/24&gt;DayStart)+('Test Patient'!D41=$B41)*ISNUMBER('Test Patient'!E41)*('Test Patient'!E41&lt;DayEnd)*('Test Patient'!E41+VisitHrs/24&gt;DayStart)+('Test Patient'!F41=$B41)*ISNUMBER('Test Patient'!G41)*('Test Patient'!G41&lt;DayEnd)*('Test Patient'!G41+VisitHrs/24&gt;DayStart))+((('Anita Klesch'!$B41=$B41)+('Test Patient 2'!$B41=$B41))-1)+($C41=$B41)*($B41&lt;&gt;"")&gt;=1,1,0),0)</f>
        <v>0</v>
      </c>
      <c r="K41" s="12">
        <f>IF(AND($H41=1,$C41&lt;&gt;""),IF((('Lucy Levene'!B41=$C41)*ISNUMBER('Lucy Levene'!C41)*((('Lucy Levene'!C41+VisitHrs/24&gt;DayEnd)+('Lucy Levene'!C41&lt;DayStart))&gt;0)+('Lucy Levene'!D41=$C41)*ISNUMBER('Lucy Levene'!E41)*((('Lucy Levene'!E41+VisitHrs/24&gt;DayEnd)+('Lucy Levene'!E41&lt;DayStart))&gt;0)+('Lucy Levene'!F41=$C41)*ISNUMBER('Lucy Levene'!G41)*((('Lucy Levene'!G41+VisitHrs/24&gt;DayEnd)+('Lucy Levene'!G41&lt;DayStart))&gt;0)+('Tom Bock'!B41=$C41)*ISNUMBER('Tom Bock'!C41)*((('Tom Bock'!C41+VisitHrs/24&gt;DayEnd)+('Tom Bock'!C41&lt;DayStart))&gt;0)+('Tom Bock'!D41=$C41)*ISNUMBER('Tom Bock'!E41)*((('Tom Bock'!E41+VisitHrs/24&gt;DayEnd)+('Tom Bock'!E41&lt;DayStart))&gt;0)+('Tom Bock'!F41=$C41)*ISNUMBER('Tom Bock'!G41)*((('Tom Bock'!G41+VisitHrs/24&gt;DayEnd)+('Tom Bock'!G41&lt;DayStart))&gt;0)+(Jeremy!B41=$C41)*ISNUMBER(Jeremy!C41)*(((Jeremy!C41+VisitHrs/24&gt;DayEnd)+(Jeremy!C41&lt;DayStart))&gt;0)+(Jeremy!D41=$C41)*ISNUMBER(Jeremy!E41)*(((Jeremy!E41+VisitHrs/24&gt;DayEnd)+(Jeremy!E41&lt;DayStart))&gt;0)+(Jeremy!F41=$C41)*ISNUMBER(Jeremy!G41)*(((Jeremy!G41+VisitHrs/24&gt;DayEnd)+(Jeremy!G41&lt;DayStart))&gt;0)+('Test Patient'!B41=$C41)*ISNUMBER('Test Patient'!C41)*((('Test Patient'!C41+VisitHrs/24&gt;DayEnd)+('Test Patient'!C41&lt;DayStart))&gt;0)+('Test Patient'!D41=$C41)*ISNUMBER('Test Patient'!E41)*((('Test Patient'!E41+VisitHrs/24&gt;DayEnd)+('Test Patient'!E41&lt;DayStart))&gt;0)+('Test Patient'!F41=$C41)*ISNUMBER('Test Patient'!G41)*((('Test Patient'!G41+VisitHrs/24&gt;DayEnd)+('Test Patient'!G41&lt;DayStart))&gt;0))+((('Anita Klesch'!$C41=$C41)+('Test Patient 2'!$C41=$C41))-1)+($B41=$C41)*($C41&lt;&gt;"")&gt;=1,1,0),0)</f>
        <v>0</v>
      </c>
      <c r="L41" s="12"/>
      <c r="M41" s="12" t="str">
        <f t="shared" si="1"/>
        <v/>
      </c>
      <c r="N41" s="12" t="str">
        <f t="shared" si="2"/>
        <v/>
      </c>
    </row>
    <row r="42" spans="1:14" x14ac:dyDescent="0.2">
      <c r="A42" s="2">
        <f t="shared" si="3"/>
        <v>46248</v>
      </c>
      <c r="B42" s="3"/>
      <c r="C42" s="3"/>
      <c r="H42" s="12">
        <f t="shared" si="0"/>
        <v>0</v>
      </c>
      <c r="I42" s="12"/>
      <c r="J42" s="12">
        <f>IF(AND($H42=1,$B42&lt;&gt;""),IF((('Lucy Levene'!B42=$B42)*ISNUMBER('Lucy Levene'!C42)*('Lucy Levene'!C42&lt;DayEnd)*('Lucy Levene'!C42+VisitHrs/24&gt;DayStart)+('Lucy Levene'!D42=$B42)*ISNUMBER('Lucy Levene'!E42)*('Lucy Levene'!E42&lt;DayEnd)*('Lucy Levene'!E42+VisitHrs/24&gt;DayStart)+('Lucy Levene'!F42=$B42)*ISNUMBER('Lucy Levene'!G42)*('Lucy Levene'!G42&lt;DayEnd)*('Lucy Levene'!G42+VisitHrs/24&gt;DayStart)+('Tom Bock'!B42=$B42)*ISNUMBER('Tom Bock'!C42)*('Tom Bock'!C42&lt;DayEnd)*('Tom Bock'!C42+VisitHrs/24&gt;DayStart)+('Tom Bock'!D42=$B42)*ISNUMBER('Tom Bock'!E42)*('Tom Bock'!E42&lt;DayEnd)*('Tom Bock'!E42+VisitHrs/24&gt;DayStart)+('Tom Bock'!F42=$B42)*ISNUMBER('Tom Bock'!G42)*('Tom Bock'!G42&lt;DayEnd)*('Tom Bock'!G42+VisitHrs/24&gt;DayStart)+(Jeremy!B42=$B42)*ISNUMBER(Jeremy!C42)*(Jeremy!C42&lt;DayEnd)*(Jeremy!C42+VisitHrs/24&gt;DayStart)+(Jeremy!D42=$B42)*ISNUMBER(Jeremy!E42)*(Jeremy!E42&lt;DayEnd)*(Jeremy!E42+VisitHrs/24&gt;DayStart)+(Jeremy!F42=$B42)*ISNUMBER(Jeremy!G42)*(Jeremy!G42&lt;DayEnd)*(Jeremy!G42+VisitHrs/24&gt;DayStart)+('Test Patient'!B42=$B42)*ISNUMBER('Test Patient'!C42)*('Test Patient'!C42&lt;DayEnd)*('Test Patient'!C42+VisitHrs/24&gt;DayStart)+('Test Patient'!D42=$B42)*ISNUMBER('Test Patient'!E42)*('Test Patient'!E42&lt;DayEnd)*('Test Patient'!E42+VisitHrs/24&gt;DayStart)+('Test Patient'!F42=$B42)*ISNUMBER('Test Patient'!G42)*('Test Patient'!G42&lt;DayEnd)*('Test Patient'!G42+VisitHrs/24&gt;DayStart))+((('Anita Klesch'!$B42=$B42)+('Test Patient 2'!$B42=$B42))-1)+($C42=$B42)*($B42&lt;&gt;"")&gt;=1,1,0),0)</f>
        <v>0</v>
      </c>
      <c r="K42" s="12">
        <f>IF(AND($H42=1,$C42&lt;&gt;""),IF((('Lucy Levene'!B42=$C42)*ISNUMBER('Lucy Levene'!C42)*((('Lucy Levene'!C42+VisitHrs/24&gt;DayEnd)+('Lucy Levene'!C42&lt;DayStart))&gt;0)+('Lucy Levene'!D42=$C42)*ISNUMBER('Lucy Levene'!E42)*((('Lucy Levene'!E42+VisitHrs/24&gt;DayEnd)+('Lucy Levene'!E42&lt;DayStart))&gt;0)+('Lucy Levene'!F42=$C42)*ISNUMBER('Lucy Levene'!G42)*((('Lucy Levene'!G42+VisitHrs/24&gt;DayEnd)+('Lucy Levene'!G42&lt;DayStart))&gt;0)+('Tom Bock'!B42=$C42)*ISNUMBER('Tom Bock'!C42)*((('Tom Bock'!C42+VisitHrs/24&gt;DayEnd)+('Tom Bock'!C42&lt;DayStart))&gt;0)+('Tom Bock'!D42=$C42)*ISNUMBER('Tom Bock'!E42)*((('Tom Bock'!E42+VisitHrs/24&gt;DayEnd)+('Tom Bock'!E42&lt;DayStart))&gt;0)+('Tom Bock'!F42=$C42)*ISNUMBER('Tom Bock'!G42)*((('Tom Bock'!G42+VisitHrs/24&gt;DayEnd)+('Tom Bock'!G42&lt;DayStart))&gt;0)+(Jeremy!B42=$C42)*ISNUMBER(Jeremy!C42)*(((Jeremy!C42+VisitHrs/24&gt;DayEnd)+(Jeremy!C42&lt;DayStart))&gt;0)+(Jeremy!D42=$C42)*ISNUMBER(Jeremy!E42)*(((Jeremy!E42+VisitHrs/24&gt;DayEnd)+(Jeremy!E42&lt;DayStart))&gt;0)+(Jeremy!F42=$C42)*ISNUMBER(Jeremy!G42)*(((Jeremy!G42+VisitHrs/24&gt;DayEnd)+(Jeremy!G42&lt;DayStart))&gt;0)+('Test Patient'!B42=$C42)*ISNUMBER('Test Patient'!C42)*((('Test Patient'!C42+VisitHrs/24&gt;DayEnd)+('Test Patient'!C42&lt;DayStart))&gt;0)+('Test Patient'!D42=$C42)*ISNUMBER('Test Patient'!E42)*((('Test Patient'!E42+VisitHrs/24&gt;DayEnd)+('Test Patient'!E42&lt;DayStart))&gt;0)+('Test Patient'!F42=$C42)*ISNUMBER('Test Patient'!G42)*((('Test Patient'!G42+VisitHrs/24&gt;DayEnd)+('Test Patient'!G42&lt;DayStart))&gt;0))+((('Anita Klesch'!$C42=$C42)+('Test Patient 2'!$C42=$C42))-1)+($B42=$C42)*($C42&lt;&gt;"")&gt;=1,1,0),0)</f>
        <v>0</v>
      </c>
      <c r="L42" s="12"/>
      <c r="M42" s="12" t="str">
        <f t="shared" si="1"/>
        <v/>
      </c>
      <c r="N42" s="12" t="str">
        <f t="shared" si="2"/>
        <v/>
      </c>
    </row>
  </sheetData>
  <mergeCells count="3">
    <mergeCell ref="A1:C1"/>
    <mergeCell ref="A2:C2"/>
    <mergeCell ref="B18:C29"/>
  </mergeCells>
  <conditionalFormatting sqref="A5:A42">
    <cfRule type="expression" dxfId="25" priority="5">
      <formula>WEEKDAY($A5,2)&gt;5</formula>
    </cfRule>
  </conditionalFormatting>
  <conditionalFormatting sqref="A5:C17 A30:C42 A18:B18 A19:A29">
    <cfRule type="expression" dxfId="24" priority="1" stopIfTrue="1">
      <formula>$H5=0</formula>
    </cfRule>
  </conditionalFormatting>
  <conditionalFormatting sqref="B5:B18 B30:B42">
    <cfRule type="expression" dxfId="23" priority="2">
      <formula>$J5=1</formula>
    </cfRule>
  </conditionalFormatting>
  <conditionalFormatting sqref="B5:C17 B30:C42 B18">
    <cfRule type="expression" dxfId="22" priority="4">
      <formula>AND($A5&lt;&gt;"",$H5=1,B5="")</formula>
    </cfRule>
  </conditionalFormatting>
  <conditionalFormatting sqref="C5:C17 C30:C42">
    <cfRule type="expression" dxfId="21" priority="3">
      <formula>$K5=1</formula>
    </cfRule>
  </conditionalFormatting>
  <dataValidations count="1">
    <dataValidation type="list" errorStyle="information" allowBlank="1" showInputMessage="1" showErrorMessage="1" errorTitle="Not on roster" error="This name isn't in the staff roster on the Dashboard. Add it there to keep totals accurate." sqref="C30:C42 C5:C17 B5:B18 B30:B42" xr:uid="{B1FCE10D-5BA4-4E57-8157-03F83EF4A494}">
      <formula1>StaffList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D7E7-F73C-4D3C-8793-FD77DDFB32E7}">
  <sheetPr>
    <tabColor rgb="FF548235"/>
  </sheetPr>
  <dimension ref="A1:O42"/>
  <sheetViews>
    <sheetView workbookViewId="0">
      <pane ySplit="4" topLeftCell="A5" activePane="bottomLeft" state="frozen"/>
      <selection pane="bottomLeft" activeCell="C10" sqref="C10"/>
    </sheetView>
  </sheetViews>
  <sheetFormatPr baseColWidth="10" defaultColWidth="8.83203125" defaultRowHeight="15" outlineLevelCol="1" x14ac:dyDescent="0.2"/>
  <cols>
    <col min="1" max="1" width="18.1640625" customWidth="1"/>
    <col min="2" max="2" width="19" customWidth="1"/>
    <col min="3" max="3" width="11.83203125" customWidth="1"/>
    <col min="4" max="4" width="19" customWidth="1"/>
    <col min="5" max="5" width="11.83203125" customWidth="1"/>
    <col min="6" max="6" width="19" customWidth="1"/>
    <col min="7" max="7" width="11.83203125" customWidth="1"/>
    <col min="8" max="15" width="9.1640625" outlineLevel="1"/>
  </cols>
  <sheetData>
    <row r="1" spans="1:15" ht="21" x14ac:dyDescent="0.25">
      <c r="A1" s="71" t="s">
        <v>75</v>
      </c>
      <c r="B1" s="40"/>
      <c r="C1" s="40"/>
    </row>
    <row r="2" spans="1:15" x14ac:dyDescent="0.2">
      <c r="A2" s="41" t="s">
        <v>62</v>
      </c>
      <c r="B2" s="40"/>
      <c r="C2" s="40"/>
    </row>
    <row r="4" spans="1:15" x14ac:dyDescent="0.2">
      <c r="A4" s="4" t="s">
        <v>2</v>
      </c>
      <c r="B4" s="4" t="s">
        <v>63</v>
      </c>
      <c r="C4" s="4" t="s">
        <v>64</v>
      </c>
      <c r="D4" s="4" t="s">
        <v>65</v>
      </c>
      <c r="E4" s="4" t="s">
        <v>64</v>
      </c>
      <c r="F4" s="4" t="s">
        <v>66</v>
      </c>
      <c r="G4" s="4" t="s">
        <v>64</v>
      </c>
      <c r="H4" s="11" t="s">
        <v>67</v>
      </c>
      <c r="I4" s="11" t="s">
        <v>68</v>
      </c>
      <c r="J4" s="11" t="s">
        <v>69</v>
      </c>
      <c r="K4" s="11" t="s">
        <v>70</v>
      </c>
      <c r="L4" s="11" t="s">
        <v>71</v>
      </c>
      <c r="M4" s="11" t="s">
        <v>72</v>
      </c>
      <c r="N4" s="11" t="s">
        <v>73</v>
      </c>
      <c r="O4" s="11" t="s">
        <v>74</v>
      </c>
    </row>
    <row r="5" spans="1:15" x14ac:dyDescent="0.2">
      <c r="A5" s="2">
        <f>DATE(2026,7,8)</f>
        <v>46211</v>
      </c>
      <c r="B5" s="3"/>
      <c r="C5" s="24"/>
      <c r="D5" s="19"/>
      <c r="E5" s="25"/>
      <c r="F5" s="19"/>
      <c r="G5" s="25"/>
      <c r="H5" s="12">
        <f t="shared" ref="H5:H42" si="0">IF($A5="",0,IF(AND(OR(NOT(ISNUMBER(TB_Start)),TB_Start=0,$A5&gt;=TB_Start),OR(NOT(ISNUMBER(TB_End)),TB_End=0,$A5&lt;=TB_End)),1,0))</f>
        <v>0</v>
      </c>
      <c r="I5" s="12">
        <f>IF($H5=1,($B5&lt;&gt;"")+($D5&lt;&gt;"")+($F5&lt;&gt;""),0)</f>
        <v>0</v>
      </c>
      <c r="J5" s="12">
        <f>IF(AND($H5=1,$B5&lt;&gt;"",ISNUMBER($C5)),IF(((('Lucy Levene'!B5=$B5)*ISNUMBER('Lucy Levene'!C5)*(ABS('Lucy Levene'!C5-$C5)&lt;VisitHrs/24)+('Lucy Levene'!D5=$B5)*ISNUMBER('Lucy Levene'!E5)*(ABS('Lucy Levene'!E5-$C5)&lt;VisitHrs/24)+('Lucy Levene'!F5=$B5)*ISNUMBER('Lucy Levene'!G5)*(ABS('Lucy Levene'!G5-$C5)&lt;VisitHrs/24)+('Tom Bock'!B5=$B5)*ISNUMBER('Tom Bock'!C5)*(ABS('Tom Bock'!C5-$C5)&lt;VisitHrs/24)+('Tom Bock'!D5=$B5)*ISNUMBER('Tom Bock'!E5)*(ABS('Tom Bock'!E5-$C5)&lt;VisitHrs/24)+('Tom Bock'!F5=$B5)*ISNUMBER('Tom Bock'!G5)*(ABS('Tom Bock'!G5-$C5)&lt;VisitHrs/24)+(Jeremy!B5=$B5)*ISNUMBER(Jeremy!C5)*(ABS(Jeremy!C5-$C5)&lt;VisitHrs/24)+(Jeremy!D5=$B5)*ISNUMBER(Jeremy!E5)*(ABS(Jeremy!E5-$C5)&lt;VisitHrs/24)+(Jeremy!F5=$B5)*ISNUMBER(Jeremy!G5)*(ABS(Jeremy!G5-$C5)&lt;VisitHrs/24)+('Test Patient'!B5=$B5)*ISNUMBER('Test Patient'!C5)*(ABS('Test Patient'!C5-$C5)&lt;VisitHrs/24)+('Test Patient'!D5=$B5)*ISNUMBER('Test Patient'!E5)*(ABS('Test Patient'!E5-$C5)&lt;VisitHrs/24)+('Test Patient'!F5=$B5)*ISNUMBER('Test Patient'!G5)*(ABS('Test Patient'!G5-$C5)&lt;VisitHrs/24))-1)+('Anita Klesch'!$B5=$B5)*($C5&lt;DayEnd)*($C5+VisitHrs/24&gt;DayStart)+('Anita Klesch'!$C5=$B5)*((($C5+VisitHrs/24&gt;DayEnd)+($C5&lt;DayStart))&gt;0)+('Test Patient 2'!$B5=$B5)*($C5&lt;DayEnd)*($C5+VisitHrs/24&gt;DayStart)+('Test Patient 2'!$C5=$B5)*((($C5+VisitHrs/24&gt;DayEnd)+($C5&lt;DayStart))&gt;0)&gt;=1,1,0),0)</f>
        <v>0</v>
      </c>
      <c r="K5" s="12">
        <f>IF(AND($H5=1,$D5&lt;&gt;"",ISNUMBER($E5)),IF(((('Lucy Levene'!B5=$D5)*ISNUMBER('Lucy Levene'!C5)*(ABS('Lucy Levene'!C5-$E5)&lt;VisitHrs/24)+('Lucy Levene'!D5=$D5)*ISNUMBER('Lucy Levene'!E5)*(ABS('Lucy Levene'!E5-$E5)&lt;VisitHrs/24)+('Lucy Levene'!F5=$D5)*ISNUMBER('Lucy Levene'!G5)*(ABS('Lucy Levene'!G5-$E5)&lt;VisitHrs/24)+('Tom Bock'!B5=$D5)*ISNUMBER('Tom Bock'!C5)*(ABS('Tom Bock'!C5-$E5)&lt;VisitHrs/24)+('Tom Bock'!D5=$D5)*ISNUMBER('Tom Bock'!E5)*(ABS('Tom Bock'!E5-$E5)&lt;VisitHrs/24)+('Tom Bock'!F5=$D5)*ISNUMBER('Tom Bock'!G5)*(ABS('Tom Bock'!G5-$E5)&lt;VisitHrs/24)+(Jeremy!B5=$D5)*ISNUMBER(Jeremy!C5)*(ABS(Jeremy!C5-$E5)&lt;VisitHrs/24)+(Jeremy!D5=$D5)*ISNUMBER(Jeremy!E5)*(ABS(Jeremy!E5-$E5)&lt;VisitHrs/24)+(Jeremy!F5=$D5)*ISNUMBER(Jeremy!G5)*(ABS(Jeremy!G5-$E5)&lt;VisitHrs/24)+('Test Patient'!B5=$D5)*ISNUMBER('Test Patient'!C5)*(ABS('Test Patient'!C5-$E5)&lt;VisitHrs/24)+('Test Patient'!D5=$D5)*ISNUMBER('Test Patient'!E5)*(ABS('Test Patient'!E5-$E5)&lt;VisitHrs/24)+('Test Patient'!F5=$D5)*ISNUMBER('Test Patient'!G5)*(ABS('Test Patient'!G5-$E5)&lt;VisitHrs/24))-1)+('Anita Klesch'!$B5=$D5)*($E5&lt;DayEnd)*($E5+VisitHrs/24&gt;DayStart)+('Anita Klesch'!$C5=$D5)*((($E5+VisitHrs/24&gt;DayEnd)+($E5&lt;DayStart))&gt;0)+('Test Patient 2'!$B5=$D5)*($E5&lt;DayEnd)*($E5+VisitHrs/24&gt;DayStart)+('Test Patient 2'!$C5=$D5)*((($E5+VisitHrs/24&gt;DayEnd)+($E5&lt;DayStart))&gt;0)&gt;=1,1,0),0)</f>
        <v>0</v>
      </c>
      <c r="L5" s="12">
        <f>IF(AND($H5=1,$F5&lt;&gt;"",ISNUMBER($G5)),IF(((('Lucy Levene'!B5=$F5)*ISNUMBER('Lucy Levene'!C5)*(ABS('Lucy Levene'!C5-$G5)&lt;VisitHrs/24)+('Lucy Levene'!D5=$F5)*ISNUMBER('Lucy Levene'!E5)*(ABS('Lucy Levene'!E5-$G5)&lt;VisitHrs/24)+('Lucy Levene'!F5=$F5)*ISNUMBER('Lucy Levene'!G5)*(ABS('Lucy Levene'!G5-$G5)&lt;VisitHrs/24)+('Tom Bock'!B5=$F5)*ISNUMBER('Tom Bock'!C5)*(ABS('Tom Bock'!C5-$G5)&lt;VisitHrs/24)+('Tom Bock'!D5=$F5)*ISNUMBER('Tom Bock'!E5)*(ABS('Tom Bock'!E5-$G5)&lt;VisitHrs/24)+('Tom Bock'!F5=$F5)*ISNUMBER('Tom Bock'!G5)*(ABS('Tom Bock'!G5-$G5)&lt;VisitHrs/24)+(Jeremy!B5=$F5)*ISNUMBER(Jeremy!C5)*(ABS(Jeremy!C5-$G5)&lt;VisitHrs/24)+(Jeremy!D5=$F5)*ISNUMBER(Jeremy!E5)*(ABS(Jeremy!E5-$G5)&lt;VisitHrs/24)+(Jeremy!F5=$F5)*ISNUMBER(Jeremy!G5)*(ABS(Jeremy!G5-$G5)&lt;VisitHrs/24)+('Test Patient'!B5=$F5)*ISNUMBER('Test Patient'!C5)*(ABS('Test Patient'!C5-$G5)&lt;VisitHrs/24)+('Test Patient'!D5=$F5)*ISNUMBER('Test Patient'!E5)*(ABS('Test Patient'!E5-$G5)&lt;VisitHrs/24)+('Test Patient'!F5=$F5)*ISNUMBER('Test Patient'!G5)*(ABS('Test Patient'!G5-$G5)&lt;VisitHrs/24))-1)+('Anita Klesch'!$B5=$F5)*($G5&lt;DayEnd)*($G5+VisitHrs/24&gt;DayStart)+('Anita Klesch'!$C5=$F5)*((($G5+VisitHrs/24&gt;DayEnd)+($G5&lt;DayStart))&gt;0)+('Test Patient 2'!$B5=$F5)*($G5&lt;DayEnd)*($G5+VisitHrs/24&gt;DayStart)+('Test Patient 2'!$C5=$F5)*((($G5+VisitHrs/24&gt;DayEnd)+($G5&lt;DayStart))&gt;0)&gt;=1,1,0),0)</f>
        <v>0</v>
      </c>
      <c r="M5" s="12" t="str">
        <f>IF($H5=1,$B5,"")</f>
        <v/>
      </c>
      <c r="N5" s="12" t="str">
        <f>IF($H5=1,$D5,"")</f>
        <v/>
      </c>
      <c r="O5" s="12" t="str">
        <f>IF($H5=1,$F5,"")</f>
        <v/>
      </c>
    </row>
    <row r="6" spans="1:15" x14ac:dyDescent="0.2">
      <c r="A6" s="2">
        <f>A5+1</f>
        <v>46212</v>
      </c>
      <c r="B6" s="3"/>
      <c r="C6" s="24"/>
      <c r="D6" s="19"/>
      <c r="E6" s="25"/>
      <c r="F6" s="19"/>
      <c r="G6" s="25"/>
      <c r="H6" s="12">
        <f t="shared" si="0"/>
        <v>0</v>
      </c>
      <c r="I6" s="12">
        <f t="shared" ref="I6:I42" si="1">IF($H6=1,($B6&lt;&gt;"")+($D6&lt;&gt;"")+($F6&lt;&gt;""),0)</f>
        <v>0</v>
      </c>
      <c r="J6" s="12">
        <f>IF(AND($H6=1,$B6&lt;&gt;"",ISNUMBER($C6)),IF(((('Lucy Levene'!B6=$B6)*ISNUMBER('Lucy Levene'!C6)*(ABS('Lucy Levene'!C6-$C6)&lt;VisitHrs/24)+('Lucy Levene'!D6=$B6)*ISNUMBER('Lucy Levene'!E6)*(ABS('Lucy Levene'!E6-$C6)&lt;VisitHrs/24)+('Lucy Levene'!F6=$B6)*ISNUMBER('Lucy Levene'!G6)*(ABS('Lucy Levene'!G6-$C6)&lt;VisitHrs/24)+('Tom Bock'!B6=$B6)*ISNUMBER('Tom Bock'!C6)*(ABS('Tom Bock'!C6-$C6)&lt;VisitHrs/24)+('Tom Bock'!D6=$B6)*ISNUMBER('Tom Bock'!E6)*(ABS('Tom Bock'!E6-$C6)&lt;VisitHrs/24)+('Tom Bock'!F6=$B6)*ISNUMBER('Tom Bock'!G6)*(ABS('Tom Bock'!G6-$C6)&lt;VisitHrs/24)+(Jeremy!B6=$B6)*ISNUMBER(Jeremy!C6)*(ABS(Jeremy!C6-$C6)&lt;VisitHrs/24)+(Jeremy!D6=$B6)*ISNUMBER(Jeremy!E6)*(ABS(Jeremy!E6-$C6)&lt;VisitHrs/24)+(Jeremy!F6=$B6)*ISNUMBER(Jeremy!G6)*(ABS(Jeremy!G6-$C6)&lt;VisitHrs/24)+('Test Patient'!B6=$B6)*ISNUMBER('Test Patient'!C6)*(ABS('Test Patient'!C6-$C6)&lt;VisitHrs/24)+('Test Patient'!D6=$B6)*ISNUMBER('Test Patient'!E6)*(ABS('Test Patient'!E6-$C6)&lt;VisitHrs/24)+('Test Patient'!F6=$B6)*ISNUMBER('Test Patient'!G6)*(ABS('Test Patient'!G6-$C6)&lt;VisitHrs/24))-1)+('Anita Klesch'!$B6=$B6)*($C6&lt;DayEnd)*($C6+VisitHrs/24&gt;DayStart)+('Anita Klesch'!$C6=$B6)*((($C6+VisitHrs/24&gt;DayEnd)+($C6&lt;DayStart))&gt;0)+('Test Patient 2'!$B6=$B6)*($C6&lt;DayEnd)*($C6+VisitHrs/24&gt;DayStart)+('Test Patient 2'!$C6=$B6)*((($C6+VisitHrs/24&gt;DayEnd)+($C6&lt;DayStart))&gt;0)&gt;=1,1,0),0)</f>
        <v>0</v>
      </c>
      <c r="K6" s="12">
        <f>IF(AND($H6=1,$D6&lt;&gt;"",ISNUMBER($E6)),IF(((('Lucy Levene'!B6=$D6)*ISNUMBER('Lucy Levene'!C6)*(ABS('Lucy Levene'!C6-$E6)&lt;VisitHrs/24)+('Lucy Levene'!D6=$D6)*ISNUMBER('Lucy Levene'!E6)*(ABS('Lucy Levene'!E6-$E6)&lt;VisitHrs/24)+('Lucy Levene'!F6=$D6)*ISNUMBER('Lucy Levene'!G6)*(ABS('Lucy Levene'!G6-$E6)&lt;VisitHrs/24)+('Tom Bock'!B6=$D6)*ISNUMBER('Tom Bock'!C6)*(ABS('Tom Bock'!C6-$E6)&lt;VisitHrs/24)+('Tom Bock'!D6=$D6)*ISNUMBER('Tom Bock'!E6)*(ABS('Tom Bock'!E6-$E6)&lt;VisitHrs/24)+('Tom Bock'!F6=$D6)*ISNUMBER('Tom Bock'!G6)*(ABS('Tom Bock'!G6-$E6)&lt;VisitHrs/24)+(Jeremy!B6=$D6)*ISNUMBER(Jeremy!C6)*(ABS(Jeremy!C6-$E6)&lt;VisitHrs/24)+(Jeremy!D6=$D6)*ISNUMBER(Jeremy!E6)*(ABS(Jeremy!E6-$E6)&lt;VisitHrs/24)+(Jeremy!F6=$D6)*ISNUMBER(Jeremy!G6)*(ABS(Jeremy!G6-$E6)&lt;VisitHrs/24)+('Test Patient'!B6=$D6)*ISNUMBER('Test Patient'!C6)*(ABS('Test Patient'!C6-$E6)&lt;VisitHrs/24)+('Test Patient'!D6=$D6)*ISNUMBER('Test Patient'!E6)*(ABS('Test Patient'!E6-$E6)&lt;VisitHrs/24)+('Test Patient'!F6=$D6)*ISNUMBER('Test Patient'!G6)*(ABS('Test Patient'!G6-$E6)&lt;VisitHrs/24))-1)+('Anita Klesch'!$B6=$D6)*($E6&lt;DayEnd)*($E6+VisitHrs/24&gt;DayStart)+('Anita Klesch'!$C6=$D6)*((($E6+VisitHrs/24&gt;DayEnd)+($E6&lt;DayStart))&gt;0)+('Test Patient 2'!$B6=$D6)*($E6&lt;DayEnd)*($E6+VisitHrs/24&gt;DayStart)+('Test Patient 2'!$C6=$D6)*((($E6+VisitHrs/24&gt;DayEnd)+($E6&lt;DayStart))&gt;0)&gt;=1,1,0),0)</f>
        <v>0</v>
      </c>
      <c r="L6" s="12">
        <f>IF(AND($H6=1,$F6&lt;&gt;"",ISNUMBER($G6)),IF(((('Lucy Levene'!B6=$F6)*ISNUMBER('Lucy Levene'!C6)*(ABS('Lucy Levene'!C6-$G6)&lt;VisitHrs/24)+('Lucy Levene'!D6=$F6)*ISNUMBER('Lucy Levene'!E6)*(ABS('Lucy Levene'!E6-$G6)&lt;VisitHrs/24)+('Lucy Levene'!F6=$F6)*ISNUMBER('Lucy Levene'!G6)*(ABS('Lucy Levene'!G6-$G6)&lt;VisitHrs/24)+('Tom Bock'!B6=$F6)*ISNUMBER('Tom Bock'!C6)*(ABS('Tom Bock'!C6-$G6)&lt;VisitHrs/24)+('Tom Bock'!D6=$F6)*ISNUMBER('Tom Bock'!E6)*(ABS('Tom Bock'!E6-$G6)&lt;VisitHrs/24)+('Tom Bock'!F6=$F6)*ISNUMBER('Tom Bock'!G6)*(ABS('Tom Bock'!G6-$G6)&lt;VisitHrs/24)+(Jeremy!B6=$F6)*ISNUMBER(Jeremy!C6)*(ABS(Jeremy!C6-$G6)&lt;VisitHrs/24)+(Jeremy!D6=$F6)*ISNUMBER(Jeremy!E6)*(ABS(Jeremy!E6-$G6)&lt;VisitHrs/24)+(Jeremy!F6=$F6)*ISNUMBER(Jeremy!G6)*(ABS(Jeremy!G6-$G6)&lt;VisitHrs/24)+('Test Patient'!B6=$F6)*ISNUMBER('Test Patient'!C6)*(ABS('Test Patient'!C6-$G6)&lt;VisitHrs/24)+('Test Patient'!D6=$F6)*ISNUMBER('Test Patient'!E6)*(ABS('Test Patient'!E6-$G6)&lt;VisitHrs/24)+('Test Patient'!F6=$F6)*ISNUMBER('Test Patient'!G6)*(ABS('Test Patient'!G6-$G6)&lt;VisitHrs/24))-1)+('Anita Klesch'!$B6=$F6)*($G6&lt;DayEnd)*($G6+VisitHrs/24&gt;DayStart)+('Anita Klesch'!$C6=$F6)*((($G6+VisitHrs/24&gt;DayEnd)+($G6&lt;DayStart))&gt;0)+('Test Patient 2'!$B6=$F6)*($G6&lt;DayEnd)*($G6+VisitHrs/24&gt;DayStart)+('Test Patient 2'!$C6=$F6)*((($G6+VisitHrs/24&gt;DayEnd)+($G6&lt;DayStart))&gt;0)&gt;=1,1,0),0)</f>
        <v>0</v>
      </c>
      <c r="M6" s="12" t="str">
        <f t="shared" ref="M6:M42" si="2">IF($H6=1,$B6,"")</f>
        <v/>
      </c>
      <c r="N6" s="12" t="str">
        <f t="shared" ref="N6:N42" si="3">IF($H6=1,$D6,"")</f>
        <v/>
      </c>
      <c r="O6" s="12" t="str">
        <f t="shared" ref="O6:O42" si="4">IF($H6=1,$F6,"")</f>
        <v/>
      </c>
    </row>
    <row r="7" spans="1:15" x14ac:dyDescent="0.2">
      <c r="A7" s="2">
        <f t="shared" ref="A7:A42" si="5">A6+1</f>
        <v>46213</v>
      </c>
      <c r="B7" s="3"/>
      <c r="C7" s="24"/>
      <c r="D7" s="19"/>
      <c r="E7" s="25"/>
      <c r="F7" s="19"/>
      <c r="G7" s="25"/>
      <c r="H7" s="12">
        <f t="shared" si="0"/>
        <v>0</v>
      </c>
      <c r="I7" s="12">
        <f t="shared" si="1"/>
        <v>0</v>
      </c>
      <c r="J7" s="12">
        <f>IF(AND($H7=1,$B7&lt;&gt;"",ISNUMBER($C7)),IF(((('Lucy Levene'!B7=$B7)*ISNUMBER('Lucy Levene'!C7)*(ABS('Lucy Levene'!C7-$C7)&lt;VisitHrs/24)+('Lucy Levene'!D7=$B7)*ISNUMBER('Lucy Levene'!E7)*(ABS('Lucy Levene'!E7-$C7)&lt;VisitHrs/24)+('Lucy Levene'!F7=$B7)*ISNUMBER('Lucy Levene'!G7)*(ABS('Lucy Levene'!G7-$C7)&lt;VisitHrs/24)+('Tom Bock'!B7=$B7)*ISNUMBER('Tom Bock'!C7)*(ABS('Tom Bock'!C7-$C7)&lt;VisitHrs/24)+('Tom Bock'!D7=$B7)*ISNUMBER('Tom Bock'!E7)*(ABS('Tom Bock'!E7-$C7)&lt;VisitHrs/24)+('Tom Bock'!F7=$B7)*ISNUMBER('Tom Bock'!G7)*(ABS('Tom Bock'!G7-$C7)&lt;VisitHrs/24)+(Jeremy!B7=$B7)*ISNUMBER(Jeremy!C7)*(ABS(Jeremy!C7-$C7)&lt;VisitHrs/24)+(Jeremy!D7=$B7)*ISNUMBER(Jeremy!E7)*(ABS(Jeremy!E7-$C7)&lt;VisitHrs/24)+(Jeremy!F7=$B7)*ISNUMBER(Jeremy!G7)*(ABS(Jeremy!G7-$C7)&lt;VisitHrs/24)+('Test Patient'!B7=$B7)*ISNUMBER('Test Patient'!C7)*(ABS('Test Patient'!C7-$C7)&lt;VisitHrs/24)+('Test Patient'!D7=$B7)*ISNUMBER('Test Patient'!E7)*(ABS('Test Patient'!E7-$C7)&lt;VisitHrs/24)+('Test Patient'!F7=$B7)*ISNUMBER('Test Patient'!G7)*(ABS('Test Patient'!G7-$C7)&lt;VisitHrs/24))-1)+('Anita Klesch'!$B7=$B7)*($C7&lt;DayEnd)*($C7+VisitHrs/24&gt;DayStart)+('Anita Klesch'!$C7=$B7)*((($C7+VisitHrs/24&gt;DayEnd)+($C7&lt;DayStart))&gt;0)+('Test Patient 2'!$B7=$B7)*($C7&lt;DayEnd)*($C7+VisitHrs/24&gt;DayStart)+('Test Patient 2'!$C7=$B7)*((($C7+VisitHrs/24&gt;DayEnd)+($C7&lt;DayStart))&gt;0)&gt;=1,1,0),0)</f>
        <v>0</v>
      </c>
      <c r="K7" s="12">
        <f>IF(AND($H7=1,$D7&lt;&gt;"",ISNUMBER($E7)),IF(((('Lucy Levene'!B7=$D7)*ISNUMBER('Lucy Levene'!C7)*(ABS('Lucy Levene'!C7-$E7)&lt;VisitHrs/24)+('Lucy Levene'!D7=$D7)*ISNUMBER('Lucy Levene'!E7)*(ABS('Lucy Levene'!E7-$E7)&lt;VisitHrs/24)+('Lucy Levene'!F7=$D7)*ISNUMBER('Lucy Levene'!G7)*(ABS('Lucy Levene'!G7-$E7)&lt;VisitHrs/24)+('Tom Bock'!B7=$D7)*ISNUMBER('Tom Bock'!C7)*(ABS('Tom Bock'!C7-$E7)&lt;VisitHrs/24)+('Tom Bock'!D7=$D7)*ISNUMBER('Tom Bock'!E7)*(ABS('Tom Bock'!E7-$E7)&lt;VisitHrs/24)+('Tom Bock'!F7=$D7)*ISNUMBER('Tom Bock'!G7)*(ABS('Tom Bock'!G7-$E7)&lt;VisitHrs/24)+(Jeremy!B7=$D7)*ISNUMBER(Jeremy!C7)*(ABS(Jeremy!C7-$E7)&lt;VisitHrs/24)+(Jeremy!D7=$D7)*ISNUMBER(Jeremy!E7)*(ABS(Jeremy!E7-$E7)&lt;VisitHrs/24)+(Jeremy!F7=$D7)*ISNUMBER(Jeremy!G7)*(ABS(Jeremy!G7-$E7)&lt;VisitHrs/24)+('Test Patient'!B7=$D7)*ISNUMBER('Test Patient'!C7)*(ABS('Test Patient'!C7-$E7)&lt;VisitHrs/24)+('Test Patient'!D7=$D7)*ISNUMBER('Test Patient'!E7)*(ABS('Test Patient'!E7-$E7)&lt;VisitHrs/24)+('Test Patient'!F7=$D7)*ISNUMBER('Test Patient'!G7)*(ABS('Test Patient'!G7-$E7)&lt;VisitHrs/24))-1)+('Anita Klesch'!$B7=$D7)*($E7&lt;DayEnd)*($E7+VisitHrs/24&gt;DayStart)+('Anita Klesch'!$C7=$D7)*((($E7+VisitHrs/24&gt;DayEnd)+($E7&lt;DayStart))&gt;0)+('Test Patient 2'!$B7=$D7)*($E7&lt;DayEnd)*($E7+VisitHrs/24&gt;DayStart)+('Test Patient 2'!$C7=$D7)*((($E7+VisitHrs/24&gt;DayEnd)+($E7&lt;DayStart))&gt;0)&gt;=1,1,0),0)</f>
        <v>0</v>
      </c>
      <c r="L7" s="12">
        <f>IF(AND($H7=1,$F7&lt;&gt;"",ISNUMBER($G7)),IF(((('Lucy Levene'!B7=$F7)*ISNUMBER('Lucy Levene'!C7)*(ABS('Lucy Levene'!C7-$G7)&lt;VisitHrs/24)+('Lucy Levene'!D7=$F7)*ISNUMBER('Lucy Levene'!E7)*(ABS('Lucy Levene'!E7-$G7)&lt;VisitHrs/24)+('Lucy Levene'!F7=$F7)*ISNUMBER('Lucy Levene'!G7)*(ABS('Lucy Levene'!G7-$G7)&lt;VisitHrs/24)+('Tom Bock'!B7=$F7)*ISNUMBER('Tom Bock'!C7)*(ABS('Tom Bock'!C7-$G7)&lt;VisitHrs/24)+('Tom Bock'!D7=$F7)*ISNUMBER('Tom Bock'!E7)*(ABS('Tom Bock'!E7-$G7)&lt;VisitHrs/24)+('Tom Bock'!F7=$F7)*ISNUMBER('Tom Bock'!G7)*(ABS('Tom Bock'!G7-$G7)&lt;VisitHrs/24)+(Jeremy!B7=$F7)*ISNUMBER(Jeremy!C7)*(ABS(Jeremy!C7-$G7)&lt;VisitHrs/24)+(Jeremy!D7=$F7)*ISNUMBER(Jeremy!E7)*(ABS(Jeremy!E7-$G7)&lt;VisitHrs/24)+(Jeremy!F7=$F7)*ISNUMBER(Jeremy!G7)*(ABS(Jeremy!G7-$G7)&lt;VisitHrs/24)+('Test Patient'!B7=$F7)*ISNUMBER('Test Patient'!C7)*(ABS('Test Patient'!C7-$G7)&lt;VisitHrs/24)+('Test Patient'!D7=$F7)*ISNUMBER('Test Patient'!E7)*(ABS('Test Patient'!E7-$G7)&lt;VisitHrs/24)+('Test Patient'!F7=$F7)*ISNUMBER('Test Patient'!G7)*(ABS('Test Patient'!G7-$G7)&lt;VisitHrs/24))-1)+('Anita Klesch'!$B7=$F7)*($G7&lt;DayEnd)*($G7+VisitHrs/24&gt;DayStart)+('Anita Klesch'!$C7=$F7)*((($G7+VisitHrs/24&gt;DayEnd)+($G7&lt;DayStart))&gt;0)+('Test Patient 2'!$B7=$F7)*($G7&lt;DayEnd)*($G7+VisitHrs/24&gt;DayStart)+('Test Patient 2'!$C7=$F7)*((($G7+VisitHrs/24&gt;DayEnd)+($G7&lt;DayStart))&gt;0)&gt;=1,1,0),0)</f>
        <v>0</v>
      </c>
      <c r="M7" s="12" t="str">
        <f t="shared" si="2"/>
        <v/>
      </c>
      <c r="N7" s="12" t="str">
        <f t="shared" si="3"/>
        <v/>
      </c>
      <c r="O7" s="12" t="str">
        <f t="shared" si="4"/>
        <v/>
      </c>
    </row>
    <row r="8" spans="1:15" x14ac:dyDescent="0.2">
      <c r="A8" s="2">
        <f t="shared" si="5"/>
        <v>46214</v>
      </c>
      <c r="B8" s="3"/>
      <c r="C8" s="24"/>
      <c r="D8" s="19"/>
      <c r="E8" s="25"/>
      <c r="F8" s="19"/>
      <c r="G8" s="25"/>
      <c r="H8" s="12">
        <f t="shared" si="0"/>
        <v>0</v>
      </c>
      <c r="I8" s="12">
        <f t="shared" si="1"/>
        <v>0</v>
      </c>
      <c r="J8" s="12">
        <f>IF(AND($H8=1,$B8&lt;&gt;"",ISNUMBER($C8)),IF(((('Lucy Levene'!B8=$B8)*ISNUMBER('Lucy Levene'!C8)*(ABS('Lucy Levene'!C8-$C8)&lt;VisitHrs/24)+('Lucy Levene'!D8=$B8)*ISNUMBER('Lucy Levene'!E8)*(ABS('Lucy Levene'!E8-$C8)&lt;VisitHrs/24)+('Lucy Levene'!F8=$B8)*ISNUMBER('Lucy Levene'!G8)*(ABS('Lucy Levene'!G8-$C8)&lt;VisitHrs/24)+('Tom Bock'!B8=$B8)*ISNUMBER('Tom Bock'!C8)*(ABS('Tom Bock'!C8-$C8)&lt;VisitHrs/24)+('Tom Bock'!D8=$B8)*ISNUMBER('Tom Bock'!E8)*(ABS('Tom Bock'!E8-$C8)&lt;VisitHrs/24)+('Tom Bock'!F8=$B8)*ISNUMBER('Tom Bock'!G8)*(ABS('Tom Bock'!G8-$C8)&lt;VisitHrs/24)+(Jeremy!B8=$B8)*ISNUMBER(Jeremy!C8)*(ABS(Jeremy!C8-$C8)&lt;VisitHrs/24)+(Jeremy!D8=$B8)*ISNUMBER(Jeremy!E8)*(ABS(Jeremy!E8-$C8)&lt;VisitHrs/24)+(Jeremy!F8=$B8)*ISNUMBER(Jeremy!G8)*(ABS(Jeremy!G8-$C8)&lt;VisitHrs/24)+('Test Patient'!B8=$B8)*ISNUMBER('Test Patient'!C8)*(ABS('Test Patient'!C8-$C8)&lt;VisitHrs/24)+('Test Patient'!D8=$B8)*ISNUMBER('Test Patient'!E8)*(ABS('Test Patient'!E8-$C8)&lt;VisitHrs/24)+('Test Patient'!F8=$B8)*ISNUMBER('Test Patient'!G8)*(ABS('Test Patient'!G8-$C8)&lt;VisitHrs/24))-1)+('Anita Klesch'!$B8=$B8)*($C8&lt;DayEnd)*($C8+VisitHrs/24&gt;DayStart)+('Anita Klesch'!$C8=$B8)*((($C8+VisitHrs/24&gt;DayEnd)+($C8&lt;DayStart))&gt;0)+('Test Patient 2'!$B8=$B8)*($C8&lt;DayEnd)*($C8+VisitHrs/24&gt;DayStart)+('Test Patient 2'!$C8=$B8)*((($C8+VisitHrs/24&gt;DayEnd)+($C8&lt;DayStart))&gt;0)&gt;=1,1,0),0)</f>
        <v>0</v>
      </c>
      <c r="K8" s="12">
        <f>IF(AND($H8=1,$D8&lt;&gt;"",ISNUMBER($E8)),IF(((('Lucy Levene'!B8=$D8)*ISNUMBER('Lucy Levene'!C8)*(ABS('Lucy Levene'!C8-$E8)&lt;VisitHrs/24)+('Lucy Levene'!D8=$D8)*ISNUMBER('Lucy Levene'!E8)*(ABS('Lucy Levene'!E8-$E8)&lt;VisitHrs/24)+('Lucy Levene'!F8=$D8)*ISNUMBER('Lucy Levene'!G8)*(ABS('Lucy Levene'!G8-$E8)&lt;VisitHrs/24)+('Tom Bock'!B8=$D8)*ISNUMBER('Tom Bock'!C8)*(ABS('Tom Bock'!C8-$E8)&lt;VisitHrs/24)+('Tom Bock'!D8=$D8)*ISNUMBER('Tom Bock'!E8)*(ABS('Tom Bock'!E8-$E8)&lt;VisitHrs/24)+('Tom Bock'!F8=$D8)*ISNUMBER('Tom Bock'!G8)*(ABS('Tom Bock'!G8-$E8)&lt;VisitHrs/24)+(Jeremy!B8=$D8)*ISNUMBER(Jeremy!C8)*(ABS(Jeremy!C8-$E8)&lt;VisitHrs/24)+(Jeremy!D8=$D8)*ISNUMBER(Jeremy!E8)*(ABS(Jeremy!E8-$E8)&lt;VisitHrs/24)+(Jeremy!F8=$D8)*ISNUMBER(Jeremy!G8)*(ABS(Jeremy!G8-$E8)&lt;VisitHrs/24)+('Test Patient'!B8=$D8)*ISNUMBER('Test Patient'!C8)*(ABS('Test Patient'!C8-$E8)&lt;VisitHrs/24)+('Test Patient'!D8=$D8)*ISNUMBER('Test Patient'!E8)*(ABS('Test Patient'!E8-$E8)&lt;VisitHrs/24)+('Test Patient'!F8=$D8)*ISNUMBER('Test Patient'!G8)*(ABS('Test Patient'!G8-$E8)&lt;VisitHrs/24))-1)+('Anita Klesch'!$B8=$D8)*($E8&lt;DayEnd)*($E8+VisitHrs/24&gt;DayStart)+('Anita Klesch'!$C8=$D8)*((($E8+VisitHrs/24&gt;DayEnd)+($E8&lt;DayStart))&gt;0)+('Test Patient 2'!$B8=$D8)*($E8&lt;DayEnd)*($E8+VisitHrs/24&gt;DayStart)+('Test Patient 2'!$C8=$D8)*((($E8+VisitHrs/24&gt;DayEnd)+($E8&lt;DayStart))&gt;0)&gt;=1,1,0),0)</f>
        <v>0</v>
      </c>
      <c r="L8" s="12">
        <f>IF(AND($H8=1,$F8&lt;&gt;"",ISNUMBER($G8)),IF(((('Lucy Levene'!B8=$F8)*ISNUMBER('Lucy Levene'!C8)*(ABS('Lucy Levene'!C8-$G8)&lt;VisitHrs/24)+('Lucy Levene'!D8=$F8)*ISNUMBER('Lucy Levene'!E8)*(ABS('Lucy Levene'!E8-$G8)&lt;VisitHrs/24)+('Lucy Levene'!F8=$F8)*ISNUMBER('Lucy Levene'!G8)*(ABS('Lucy Levene'!G8-$G8)&lt;VisitHrs/24)+('Tom Bock'!B8=$F8)*ISNUMBER('Tom Bock'!C8)*(ABS('Tom Bock'!C8-$G8)&lt;VisitHrs/24)+('Tom Bock'!D8=$F8)*ISNUMBER('Tom Bock'!E8)*(ABS('Tom Bock'!E8-$G8)&lt;VisitHrs/24)+('Tom Bock'!F8=$F8)*ISNUMBER('Tom Bock'!G8)*(ABS('Tom Bock'!G8-$G8)&lt;VisitHrs/24)+(Jeremy!B8=$F8)*ISNUMBER(Jeremy!C8)*(ABS(Jeremy!C8-$G8)&lt;VisitHrs/24)+(Jeremy!D8=$F8)*ISNUMBER(Jeremy!E8)*(ABS(Jeremy!E8-$G8)&lt;VisitHrs/24)+(Jeremy!F8=$F8)*ISNUMBER(Jeremy!G8)*(ABS(Jeremy!G8-$G8)&lt;VisitHrs/24)+('Test Patient'!B8=$F8)*ISNUMBER('Test Patient'!C8)*(ABS('Test Patient'!C8-$G8)&lt;VisitHrs/24)+('Test Patient'!D8=$F8)*ISNUMBER('Test Patient'!E8)*(ABS('Test Patient'!E8-$G8)&lt;VisitHrs/24)+('Test Patient'!F8=$F8)*ISNUMBER('Test Patient'!G8)*(ABS('Test Patient'!G8-$G8)&lt;VisitHrs/24))-1)+('Anita Klesch'!$B8=$F8)*($G8&lt;DayEnd)*($G8+VisitHrs/24&gt;DayStart)+('Anita Klesch'!$C8=$F8)*((($G8+VisitHrs/24&gt;DayEnd)+($G8&lt;DayStart))&gt;0)+('Test Patient 2'!$B8=$F8)*($G8&lt;DayEnd)*($G8+VisitHrs/24&gt;DayStart)+('Test Patient 2'!$C8=$F8)*((($G8+VisitHrs/24&gt;DayEnd)+($G8&lt;DayStart))&gt;0)&gt;=1,1,0),0)</f>
        <v>0</v>
      </c>
      <c r="M8" s="12" t="str">
        <f t="shared" si="2"/>
        <v/>
      </c>
      <c r="N8" s="12" t="str">
        <f t="shared" si="3"/>
        <v/>
      </c>
      <c r="O8" s="12" t="str">
        <f t="shared" si="4"/>
        <v/>
      </c>
    </row>
    <row r="9" spans="1:15" x14ac:dyDescent="0.2">
      <c r="A9" s="2">
        <f t="shared" si="5"/>
        <v>46215</v>
      </c>
      <c r="B9" s="3" t="s">
        <v>17</v>
      </c>
      <c r="C9" s="24">
        <v>0.41666666666666652</v>
      </c>
      <c r="D9" s="19"/>
      <c r="E9" s="25"/>
      <c r="F9" s="19"/>
      <c r="G9" s="25"/>
      <c r="H9" s="12">
        <f t="shared" si="0"/>
        <v>0</v>
      </c>
      <c r="I9" s="12">
        <f t="shared" si="1"/>
        <v>0</v>
      </c>
      <c r="J9" s="12">
        <f>IF(AND($H9=1,$B9&lt;&gt;"",ISNUMBER($C9)),IF(((('Lucy Levene'!B9=$B9)*ISNUMBER('Lucy Levene'!C9)*(ABS('Lucy Levene'!C9-$C9)&lt;VisitHrs/24)+('Lucy Levene'!D9=$B9)*ISNUMBER('Lucy Levene'!E9)*(ABS('Lucy Levene'!E9-$C9)&lt;VisitHrs/24)+('Lucy Levene'!F9=$B9)*ISNUMBER('Lucy Levene'!G9)*(ABS('Lucy Levene'!G9-$C9)&lt;VisitHrs/24)+('Tom Bock'!B9=$B9)*ISNUMBER('Tom Bock'!C9)*(ABS('Tom Bock'!C9-$C9)&lt;VisitHrs/24)+('Tom Bock'!D9=$B9)*ISNUMBER('Tom Bock'!E9)*(ABS('Tom Bock'!E9-$C9)&lt;VisitHrs/24)+('Tom Bock'!F9=$B9)*ISNUMBER('Tom Bock'!G9)*(ABS('Tom Bock'!G9-$C9)&lt;VisitHrs/24)+(Jeremy!B9=$B9)*ISNUMBER(Jeremy!C9)*(ABS(Jeremy!C9-$C9)&lt;VisitHrs/24)+(Jeremy!D9=$B9)*ISNUMBER(Jeremy!E9)*(ABS(Jeremy!E9-$C9)&lt;VisitHrs/24)+(Jeremy!F9=$B9)*ISNUMBER(Jeremy!G9)*(ABS(Jeremy!G9-$C9)&lt;VisitHrs/24)+('Test Patient'!B9=$B9)*ISNUMBER('Test Patient'!C9)*(ABS('Test Patient'!C9-$C9)&lt;VisitHrs/24)+('Test Patient'!D9=$B9)*ISNUMBER('Test Patient'!E9)*(ABS('Test Patient'!E9-$C9)&lt;VisitHrs/24)+('Test Patient'!F9=$B9)*ISNUMBER('Test Patient'!G9)*(ABS('Test Patient'!G9-$C9)&lt;VisitHrs/24))-1)+('Anita Klesch'!$B9=$B9)*($C9&lt;DayEnd)*($C9+VisitHrs/24&gt;DayStart)+('Anita Klesch'!$C9=$B9)*((($C9+VisitHrs/24&gt;DayEnd)+($C9&lt;DayStart))&gt;0)+('Test Patient 2'!$B9=$B9)*($C9&lt;DayEnd)*($C9+VisitHrs/24&gt;DayStart)+('Test Patient 2'!$C9=$B9)*((($C9+VisitHrs/24&gt;DayEnd)+($C9&lt;DayStart))&gt;0)&gt;=1,1,0),0)</f>
        <v>0</v>
      </c>
      <c r="K9" s="12">
        <f>IF(AND($H9=1,$D9&lt;&gt;"",ISNUMBER($E9)),IF(((('Lucy Levene'!B9=$D9)*ISNUMBER('Lucy Levene'!C9)*(ABS('Lucy Levene'!C9-$E9)&lt;VisitHrs/24)+('Lucy Levene'!D9=$D9)*ISNUMBER('Lucy Levene'!E9)*(ABS('Lucy Levene'!E9-$E9)&lt;VisitHrs/24)+('Lucy Levene'!F9=$D9)*ISNUMBER('Lucy Levene'!G9)*(ABS('Lucy Levene'!G9-$E9)&lt;VisitHrs/24)+('Tom Bock'!B9=$D9)*ISNUMBER('Tom Bock'!C9)*(ABS('Tom Bock'!C9-$E9)&lt;VisitHrs/24)+('Tom Bock'!D9=$D9)*ISNUMBER('Tom Bock'!E9)*(ABS('Tom Bock'!E9-$E9)&lt;VisitHrs/24)+('Tom Bock'!F9=$D9)*ISNUMBER('Tom Bock'!G9)*(ABS('Tom Bock'!G9-$E9)&lt;VisitHrs/24)+(Jeremy!B9=$D9)*ISNUMBER(Jeremy!C9)*(ABS(Jeremy!C9-$E9)&lt;VisitHrs/24)+(Jeremy!D9=$D9)*ISNUMBER(Jeremy!E9)*(ABS(Jeremy!E9-$E9)&lt;VisitHrs/24)+(Jeremy!F9=$D9)*ISNUMBER(Jeremy!G9)*(ABS(Jeremy!G9-$E9)&lt;VisitHrs/24)+('Test Patient'!B9=$D9)*ISNUMBER('Test Patient'!C9)*(ABS('Test Patient'!C9-$E9)&lt;VisitHrs/24)+('Test Patient'!D9=$D9)*ISNUMBER('Test Patient'!E9)*(ABS('Test Patient'!E9-$E9)&lt;VisitHrs/24)+('Test Patient'!F9=$D9)*ISNUMBER('Test Patient'!G9)*(ABS('Test Patient'!G9-$E9)&lt;VisitHrs/24))-1)+('Anita Klesch'!$B9=$D9)*($E9&lt;DayEnd)*($E9+VisitHrs/24&gt;DayStart)+('Anita Klesch'!$C9=$D9)*((($E9+VisitHrs/24&gt;DayEnd)+($E9&lt;DayStart))&gt;0)+('Test Patient 2'!$B9=$D9)*($E9&lt;DayEnd)*($E9+VisitHrs/24&gt;DayStart)+('Test Patient 2'!$C9=$D9)*((($E9+VisitHrs/24&gt;DayEnd)+($E9&lt;DayStart))&gt;0)&gt;=1,1,0),0)</f>
        <v>0</v>
      </c>
      <c r="L9" s="12">
        <f>IF(AND($H9=1,$F9&lt;&gt;"",ISNUMBER($G9)),IF(((('Lucy Levene'!B9=$F9)*ISNUMBER('Lucy Levene'!C9)*(ABS('Lucy Levene'!C9-$G9)&lt;VisitHrs/24)+('Lucy Levene'!D9=$F9)*ISNUMBER('Lucy Levene'!E9)*(ABS('Lucy Levene'!E9-$G9)&lt;VisitHrs/24)+('Lucy Levene'!F9=$F9)*ISNUMBER('Lucy Levene'!G9)*(ABS('Lucy Levene'!G9-$G9)&lt;VisitHrs/24)+('Tom Bock'!B9=$F9)*ISNUMBER('Tom Bock'!C9)*(ABS('Tom Bock'!C9-$G9)&lt;VisitHrs/24)+('Tom Bock'!D9=$F9)*ISNUMBER('Tom Bock'!E9)*(ABS('Tom Bock'!E9-$G9)&lt;VisitHrs/24)+('Tom Bock'!F9=$F9)*ISNUMBER('Tom Bock'!G9)*(ABS('Tom Bock'!G9-$G9)&lt;VisitHrs/24)+(Jeremy!B9=$F9)*ISNUMBER(Jeremy!C9)*(ABS(Jeremy!C9-$G9)&lt;VisitHrs/24)+(Jeremy!D9=$F9)*ISNUMBER(Jeremy!E9)*(ABS(Jeremy!E9-$G9)&lt;VisitHrs/24)+(Jeremy!F9=$F9)*ISNUMBER(Jeremy!G9)*(ABS(Jeremy!G9-$G9)&lt;VisitHrs/24)+('Test Patient'!B9=$F9)*ISNUMBER('Test Patient'!C9)*(ABS('Test Patient'!C9-$G9)&lt;VisitHrs/24)+('Test Patient'!D9=$F9)*ISNUMBER('Test Patient'!E9)*(ABS('Test Patient'!E9-$G9)&lt;VisitHrs/24)+('Test Patient'!F9=$F9)*ISNUMBER('Test Patient'!G9)*(ABS('Test Patient'!G9-$G9)&lt;VisitHrs/24))-1)+('Anita Klesch'!$B9=$F9)*($G9&lt;DayEnd)*($G9+VisitHrs/24&gt;DayStart)+('Anita Klesch'!$C9=$F9)*((($G9+VisitHrs/24&gt;DayEnd)+($G9&lt;DayStart))&gt;0)+('Test Patient 2'!$B9=$F9)*($G9&lt;DayEnd)*($G9+VisitHrs/24&gt;DayStart)+('Test Patient 2'!$C9=$F9)*((($G9+VisitHrs/24&gt;DayEnd)+($G9&lt;DayStart))&gt;0)&gt;=1,1,0),0)</f>
        <v>0</v>
      </c>
      <c r="M9" s="12" t="str">
        <f t="shared" si="2"/>
        <v/>
      </c>
      <c r="N9" s="12" t="str">
        <f t="shared" si="3"/>
        <v/>
      </c>
      <c r="O9" s="12" t="str">
        <f t="shared" si="4"/>
        <v/>
      </c>
    </row>
    <row r="10" spans="1:15" x14ac:dyDescent="0.2">
      <c r="A10" s="2">
        <f t="shared" si="5"/>
        <v>46216</v>
      </c>
      <c r="B10" s="3"/>
      <c r="C10" s="24"/>
      <c r="D10" s="19"/>
      <c r="E10" s="25"/>
      <c r="F10" s="19"/>
      <c r="G10" s="25"/>
      <c r="H10" s="12">
        <f t="shared" si="0"/>
        <v>0</v>
      </c>
      <c r="I10" s="12">
        <f t="shared" si="1"/>
        <v>0</v>
      </c>
      <c r="J10" s="12">
        <f>IF(AND($H10=1,$B10&lt;&gt;"",ISNUMBER($C10)),IF(((('Lucy Levene'!B10=$B10)*ISNUMBER('Lucy Levene'!C10)*(ABS('Lucy Levene'!C10-$C10)&lt;VisitHrs/24)+('Lucy Levene'!D10=$B10)*ISNUMBER('Lucy Levene'!E10)*(ABS('Lucy Levene'!E10-$C10)&lt;VisitHrs/24)+('Lucy Levene'!F10=$B10)*ISNUMBER('Lucy Levene'!G10)*(ABS('Lucy Levene'!G10-$C10)&lt;VisitHrs/24)+('Tom Bock'!B10=$B10)*ISNUMBER('Tom Bock'!C10)*(ABS('Tom Bock'!C10-$C10)&lt;VisitHrs/24)+('Tom Bock'!D10=$B10)*ISNUMBER('Tom Bock'!E10)*(ABS('Tom Bock'!E10-$C10)&lt;VisitHrs/24)+('Tom Bock'!F10=$B10)*ISNUMBER('Tom Bock'!G10)*(ABS('Tom Bock'!G10-$C10)&lt;VisitHrs/24)+(Jeremy!B10=$B10)*ISNUMBER(Jeremy!C10)*(ABS(Jeremy!C10-$C10)&lt;VisitHrs/24)+(Jeremy!D10=$B10)*ISNUMBER(Jeremy!E10)*(ABS(Jeremy!E10-$C10)&lt;VisitHrs/24)+(Jeremy!F10=$B10)*ISNUMBER(Jeremy!G10)*(ABS(Jeremy!G10-$C10)&lt;VisitHrs/24)+('Test Patient'!B10=$B10)*ISNUMBER('Test Patient'!C10)*(ABS('Test Patient'!C10-$C10)&lt;VisitHrs/24)+('Test Patient'!D10=$B10)*ISNUMBER('Test Patient'!E10)*(ABS('Test Patient'!E10-$C10)&lt;VisitHrs/24)+('Test Patient'!F10=$B10)*ISNUMBER('Test Patient'!G10)*(ABS('Test Patient'!G10-$C10)&lt;VisitHrs/24))-1)+('Anita Klesch'!$B10=$B10)*($C10&lt;DayEnd)*($C10+VisitHrs/24&gt;DayStart)+('Anita Klesch'!$C10=$B10)*((($C10+VisitHrs/24&gt;DayEnd)+($C10&lt;DayStart))&gt;0)+('Test Patient 2'!$B10=$B10)*($C10&lt;DayEnd)*($C10+VisitHrs/24&gt;DayStart)+('Test Patient 2'!$C10=$B10)*((($C10+VisitHrs/24&gt;DayEnd)+($C10&lt;DayStart))&gt;0)&gt;=1,1,0),0)</f>
        <v>0</v>
      </c>
      <c r="K10" s="12">
        <f>IF(AND($H10=1,$D10&lt;&gt;"",ISNUMBER($E10)),IF(((('Lucy Levene'!B10=$D10)*ISNUMBER('Lucy Levene'!C10)*(ABS('Lucy Levene'!C10-$E10)&lt;VisitHrs/24)+('Lucy Levene'!D10=$D10)*ISNUMBER('Lucy Levene'!E10)*(ABS('Lucy Levene'!E10-$E10)&lt;VisitHrs/24)+('Lucy Levene'!F10=$D10)*ISNUMBER('Lucy Levene'!G10)*(ABS('Lucy Levene'!G10-$E10)&lt;VisitHrs/24)+('Tom Bock'!B10=$D10)*ISNUMBER('Tom Bock'!C10)*(ABS('Tom Bock'!C10-$E10)&lt;VisitHrs/24)+('Tom Bock'!D10=$D10)*ISNUMBER('Tom Bock'!E10)*(ABS('Tom Bock'!E10-$E10)&lt;VisitHrs/24)+('Tom Bock'!F10=$D10)*ISNUMBER('Tom Bock'!G10)*(ABS('Tom Bock'!G10-$E10)&lt;VisitHrs/24)+(Jeremy!B10=$D10)*ISNUMBER(Jeremy!C10)*(ABS(Jeremy!C10-$E10)&lt;VisitHrs/24)+(Jeremy!D10=$D10)*ISNUMBER(Jeremy!E10)*(ABS(Jeremy!E10-$E10)&lt;VisitHrs/24)+(Jeremy!F10=$D10)*ISNUMBER(Jeremy!G10)*(ABS(Jeremy!G10-$E10)&lt;VisitHrs/24)+('Test Patient'!B10=$D10)*ISNUMBER('Test Patient'!C10)*(ABS('Test Patient'!C10-$E10)&lt;VisitHrs/24)+('Test Patient'!D10=$D10)*ISNUMBER('Test Patient'!E10)*(ABS('Test Patient'!E10-$E10)&lt;VisitHrs/24)+('Test Patient'!F10=$D10)*ISNUMBER('Test Patient'!G10)*(ABS('Test Patient'!G10-$E10)&lt;VisitHrs/24))-1)+('Anita Klesch'!$B10=$D10)*($E10&lt;DayEnd)*($E10+VisitHrs/24&gt;DayStart)+('Anita Klesch'!$C10=$D10)*((($E10+VisitHrs/24&gt;DayEnd)+($E10&lt;DayStart))&gt;0)+('Test Patient 2'!$B10=$D10)*($E10&lt;DayEnd)*($E10+VisitHrs/24&gt;DayStart)+('Test Patient 2'!$C10=$D10)*((($E10+VisitHrs/24&gt;DayEnd)+($E10&lt;DayStart))&gt;0)&gt;=1,1,0),0)</f>
        <v>0</v>
      </c>
      <c r="L10" s="12">
        <f>IF(AND($H10=1,$F10&lt;&gt;"",ISNUMBER($G10)),IF(((('Lucy Levene'!B10=$F10)*ISNUMBER('Lucy Levene'!C10)*(ABS('Lucy Levene'!C10-$G10)&lt;VisitHrs/24)+('Lucy Levene'!D10=$F10)*ISNUMBER('Lucy Levene'!E10)*(ABS('Lucy Levene'!E10-$G10)&lt;VisitHrs/24)+('Lucy Levene'!F10=$F10)*ISNUMBER('Lucy Levene'!G10)*(ABS('Lucy Levene'!G10-$G10)&lt;VisitHrs/24)+('Tom Bock'!B10=$F10)*ISNUMBER('Tom Bock'!C10)*(ABS('Tom Bock'!C10-$G10)&lt;VisitHrs/24)+('Tom Bock'!D10=$F10)*ISNUMBER('Tom Bock'!E10)*(ABS('Tom Bock'!E10-$G10)&lt;VisitHrs/24)+('Tom Bock'!F10=$F10)*ISNUMBER('Tom Bock'!G10)*(ABS('Tom Bock'!G10-$G10)&lt;VisitHrs/24)+(Jeremy!B10=$F10)*ISNUMBER(Jeremy!C10)*(ABS(Jeremy!C10-$G10)&lt;VisitHrs/24)+(Jeremy!D10=$F10)*ISNUMBER(Jeremy!E10)*(ABS(Jeremy!E10-$G10)&lt;VisitHrs/24)+(Jeremy!F10=$F10)*ISNUMBER(Jeremy!G10)*(ABS(Jeremy!G10-$G10)&lt;VisitHrs/24)+('Test Patient'!B10=$F10)*ISNUMBER('Test Patient'!C10)*(ABS('Test Patient'!C10-$G10)&lt;VisitHrs/24)+('Test Patient'!D10=$F10)*ISNUMBER('Test Patient'!E10)*(ABS('Test Patient'!E10-$G10)&lt;VisitHrs/24)+('Test Patient'!F10=$F10)*ISNUMBER('Test Patient'!G10)*(ABS('Test Patient'!G10-$G10)&lt;VisitHrs/24))-1)+('Anita Klesch'!$B10=$F10)*($G10&lt;DayEnd)*($G10+VisitHrs/24&gt;DayStart)+('Anita Klesch'!$C10=$F10)*((($G10+VisitHrs/24&gt;DayEnd)+($G10&lt;DayStart))&gt;0)+('Test Patient 2'!$B10=$F10)*($G10&lt;DayEnd)*($G10+VisitHrs/24&gt;DayStart)+('Test Patient 2'!$C10=$F10)*((($G10+VisitHrs/24&gt;DayEnd)+($G10&lt;DayStart))&gt;0)&gt;=1,1,0),0)</f>
        <v>0</v>
      </c>
      <c r="M10" s="12" t="str">
        <f t="shared" si="2"/>
        <v/>
      </c>
      <c r="N10" s="12" t="str">
        <f t="shared" si="3"/>
        <v/>
      </c>
      <c r="O10" s="12" t="str">
        <f t="shared" si="4"/>
        <v/>
      </c>
    </row>
    <row r="11" spans="1:15" x14ac:dyDescent="0.2">
      <c r="A11" s="2">
        <f t="shared" si="5"/>
        <v>46217</v>
      </c>
      <c r="B11" s="3"/>
      <c r="C11" s="24"/>
      <c r="D11" s="19"/>
      <c r="E11" s="25"/>
      <c r="F11" s="19"/>
      <c r="G11" s="25"/>
      <c r="H11" s="12">
        <f t="shared" si="0"/>
        <v>0</v>
      </c>
      <c r="I11" s="12">
        <f t="shared" si="1"/>
        <v>0</v>
      </c>
      <c r="J11" s="12">
        <f>IF(AND($H11=1,$B11&lt;&gt;"",ISNUMBER($C11)),IF(((('Lucy Levene'!B11=$B11)*ISNUMBER('Lucy Levene'!C11)*(ABS('Lucy Levene'!C11-$C11)&lt;VisitHrs/24)+('Lucy Levene'!D11=$B11)*ISNUMBER('Lucy Levene'!E11)*(ABS('Lucy Levene'!E11-$C11)&lt;VisitHrs/24)+('Lucy Levene'!F11=$B11)*ISNUMBER('Lucy Levene'!G11)*(ABS('Lucy Levene'!G11-$C11)&lt;VisitHrs/24)+('Tom Bock'!B11=$B11)*ISNUMBER('Tom Bock'!C11)*(ABS('Tom Bock'!C11-$C11)&lt;VisitHrs/24)+('Tom Bock'!D11=$B11)*ISNUMBER('Tom Bock'!E11)*(ABS('Tom Bock'!E11-$C11)&lt;VisitHrs/24)+('Tom Bock'!F11=$B11)*ISNUMBER('Tom Bock'!G11)*(ABS('Tom Bock'!G11-$C11)&lt;VisitHrs/24)+(Jeremy!B11=$B11)*ISNUMBER(Jeremy!C11)*(ABS(Jeremy!C11-$C11)&lt;VisitHrs/24)+(Jeremy!D11=$B11)*ISNUMBER(Jeremy!E11)*(ABS(Jeremy!E11-$C11)&lt;VisitHrs/24)+(Jeremy!F11=$B11)*ISNUMBER(Jeremy!G11)*(ABS(Jeremy!G11-$C11)&lt;VisitHrs/24)+('Test Patient'!B11=$B11)*ISNUMBER('Test Patient'!C11)*(ABS('Test Patient'!C11-$C11)&lt;VisitHrs/24)+('Test Patient'!D11=$B11)*ISNUMBER('Test Patient'!E11)*(ABS('Test Patient'!E11-$C11)&lt;VisitHrs/24)+('Test Patient'!F11=$B11)*ISNUMBER('Test Patient'!G11)*(ABS('Test Patient'!G11-$C11)&lt;VisitHrs/24))-1)+('Anita Klesch'!$B11=$B11)*($C11&lt;DayEnd)*($C11+VisitHrs/24&gt;DayStart)+('Anita Klesch'!$C11=$B11)*((($C11+VisitHrs/24&gt;DayEnd)+($C11&lt;DayStart))&gt;0)+('Test Patient 2'!$B11=$B11)*($C11&lt;DayEnd)*($C11+VisitHrs/24&gt;DayStart)+('Test Patient 2'!$C11=$B11)*((($C11+VisitHrs/24&gt;DayEnd)+($C11&lt;DayStart))&gt;0)&gt;=1,1,0),0)</f>
        <v>0</v>
      </c>
      <c r="K11" s="12">
        <f>IF(AND($H11=1,$D11&lt;&gt;"",ISNUMBER($E11)),IF(((('Lucy Levene'!B11=$D11)*ISNUMBER('Lucy Levene'!C11)*(ABS('Lucy Levene'!C11-$E11)&lt;VisitHrs/24)+('Lucy Levene'!D11=$D11)*ISNUMBER('Lucy Levene'!E11)*(ABS('Lucy Levene'!E11-$E11)&lt;VisitHrs/24)+('Lucy Levene'!F11=$D11)*ISNUMBER('Lucy Levene'!G11)*(ABS('Lucy Levene'!G11-$E11)&lt;VisitHrs/24)+('Tom Bock'!B11=$D11)*ISNUMBER('Tom Bock'!C11)*(ABS('Tom Bock'!C11-$E11)&lt;VisitHrs/24)+('Tom Bock'!D11=$D11)*ISNUMBER('Tom Bock'!E11)*(ABS('Tom Bock'!E11-$E11)&lt;VisitHrs/24)+('Tom Bock'!F11=$D11)*ISNUMBER('Tom Bock'!G11)*(ABS('Tom Bock'!G11-$E11)&lt;VisitHrs/24)+(Jeremy!B11=$D11)*ISNUMBER(Jeremy!C11)*(ABS(Jeremy!C11-$E11)&lt;VisitHrs/24)+(Jeremy!D11=$D11)*ISNUMBER(Jeremy!E11)*(ABS(Jeremy!E11-$E11)&lt;VisitHrs/24)+(Jeremy!F11=$D11)*ISNUMBER(Jeremy!G11)*(ABS(Jeremy!G11-$E11)&lt;VisitHrs/24)+('Test Patient'!B11=$D11)*ISNUMBER('Test Patient'!C11)*(ABS('Test Patient'!C11-$E11)&lt;VisitHrs/24)+('Test Patient'!D11=$D11)*ISNUMBER('Test Patient'!E11)*(ABS('Test Patient'!E11-$E11)&lt;VisitHrs/24)+('Test Patient'!F11=$D11)*ISNUMBER('Test Patient'!G11)*(ABS('Test Patient'!G11-$E11)&lt;VisitHrs/24))-1)+('Anita Klesch'!$B11=$D11)*($E11&lt;DayEnd)*($E11+VisitHrs/24&gt;DayStart)+('Anita Klesch'!$C11=$D11)*((($E11+VisitHrs/24&gt;DayEnd)+($E11&lt;DayStart))&gt;0)+('Test Patient 2'!$B11=$D11)*($E11&lt;DayEnd)*($E11+VisitHrs/24&gt;DayStart)+('Test Patient 2'!$C11=$D11)*((($E11+VisitHrs/24&gt;DayEnd)+($E11&lt;DayStart))&gt;0)&gt;=1,1,0),0)</f>
        <v>0</v>
      </c>
      <c r="L11" s="12">
        <f>IF(AND($H11=1,$F11&lt;&gt;"",ISNUMBER($G11)),IF(((('Lucy Levene'!B11=$F11)*ISNUMBER('Lucy Levene'!C11)*(ABS('Lucy Levene'!C11-$G11)&lt;VisitHrs/24)+('Lucy Levene'!D11=$F11)*ISNUMBER('Lucy Levene'!E11)*(ABS('Lucy Levene'!E11-$G11)&lt;VisitHrs/24)+('Lucy Levene'!F11=$F11)*ISNUMBER('Lucy Levene'!G11)*(ABS('Lucy Levene'!G11-$G11)&lt;VisitHrs/24)+('Tom Bock'!B11=$F11)*ISNUMBER('Tom Bock'!C11)*(ABS('Tom Bock'!C11-$G11)&lt;VisitHrs/24)+('Tom Bock'!D11=$F11)*ISNUMBER('Tom Bock'!E11)*(ABS('Tom Bock'!E11-$G11)&lt;VisitHrs/24)+('Tom Bock'!F11=$F11)*ISNUMBER('Tom Bock'!G11)*(ABS('Tom Bock'!G11-$G11)&lt;VisitHrs/24)+(Jeremy!B11=$F11)*ISNUMBER(Jeremy!C11)*(ABS(Jeremy!C11-$G11)&lt;VisitHrs/24)+(Jeremy!D11=$F11)*ISNUMBER(Jeremy!E11)*(ABS(Jeremy!E11-$G11)&lt;VisitHrs/24)+(Jeremy!F11=$F11)*ISNUMBER(Jeremy!G11)*(ABS(Jeremy!G11-$G11)&lt;VisitHrs/24)+('Test Patient'!B11=$F11)*ISNUMBER('Test Patient'!C11)*(ABS('Test Patient'!C11-$G11)&lt;VisitHrs/24)+('Test Patient'!D11=$F11)*ISNUMBER('Test Patient'!E11)*(ABS('Test Patient'!E11-$G11)&lt;VisitHrs/24)+('Test Patient'!F11=$F11)*ISNUMBER('Test Patient'!G11)*(ABS('Test Patient'!G11-$G11)&lt;VisitHrs/24))-1)+('Anita Klesch'!$B11=$F11)*($G11&lt;DayEnd)*($G11+VisitHrs/24&gt;DayStart)+('Anita Klesch'!$C11=$F11)*((($G11+VisitHrs/24&gt;DayEnd)+($G11&lt;DayStart))&gt;0)+('Test Patient 2'!$B11=$F11)*($G11&lt;DayEnd)*($G11+VisitHrs/24&gt;DayStart)+('Test Patient 2'!$C11=$F11)*((($G11+VisitHrs/24&gt;DayEnd)+($G11&lt;DayStart))&gt;0)&gt;=1,1,0),0)</f>
        <v>0</v>
      </c>
      <c r="M11" s="12" t="str">
        <f t="shared" si="2"/>
        <v/>
      </c>
      <c r="N11" s="12" t="str">
        <f t="shared" si="3"/>
        <v/>
      </c>
      <c r="O11" s="12" t="str">
        <f t="shared" si="4"/>
        <v/>
      </c>
    </row>
    <row r="12" spans="1:15" x14ac:dyDescent="0.2">
      <c r="A12" s="2">
        <f t="shared" si="5"/>
        <v>46218</v>
      </c>
      <c r="B12" s="3"/>
      <c r="C12" s="24"/>
      <c r="D12" s="19"/>
      <c r="E12" s="25"/>
      <c r="F12" s="19"/>
      <c r="G12" s="25"/>
      <c r="H12" s="12">
        <f t="shared" si="0"/>
        <v>0</v>
      </c>
      <c r="I12" s="12">
        <f t="shared" si="1"/>
        <v>0</v>
      </c>
      <c r="J12" s="12">
        <f>IF(AND($H12=1,$B12&lt;&gt;"",ISNUMBER($C12)),IF(((('Lucy Levene'!B12=$B12)*ISNUMBER('Lucy Levene'!C12)*(ABS('Lucy Levene'!C12-$C12)&lt;VisitHrs/24)+('Lucy Levene'!D12=$B12)*ISNUMBER('Lucy Levene'!E12)*(ABS('Lucy Levene'!E12-$C12)&lt;VisitHrs/24)+('Lucy Levene'!F12=$B12)*ISNUMBER('Lucy Levene'!G12)*(ABS('Lucy Levene'!G12-$C12)&lt;VisitHrs/24)+('Tom Bock'!B12=$B12)*ISNUMBER('Tom Bock'!C12)*(ABS('Tom Bock'!C12-$C12)&lt;VisitHrs/24)+('Tom Bock'!D12=$B12)*ISNUMBER('Tom Bock'!E12)*(ABS('Tom Bock'!E12-$C12)&lt;VisitHrs/24)+('Tom Bock'!F12=$B12)*ISNUMBER('Tom Bock'!G12)*(ABS('Tom Bock'!G12-$C12)&lt;VisitHrs/24)+(Jeremy!B12=$B12)*ISNUMBER(Jeremy!C12)*(ABS(Jeremy!C12-$C12)&lt;VisitHrs/24)+(Jeremy!D12=$B12)*ISNUMBER(Jeremy!E12)*(ABS(Jeremy!E12-$C12)&lt;VisitHrs/24)+(Jeremy!F12=$B12)*ISNUMBER(Jeremy!G12)*(ABS(Jeremy!G12-$C12)&lt;VisitHrs/24)+('Test Patient'!B12=$B12)*ISNUMBER('Test Patient'!C12)*(ABS('Test Patient'!C12-$C12)&lt;VisitHrs/24)+('Test Patient'!D12=$B12)*ISNUMBER('Test Patient'!E12)*(ABS('Test Patient'!E12-$C12)&lt;VisitHrs/24)+('Test Patient'!F12=$B12)*ISNUMBER('Test Patient'!G12)*(ABS('Test Patient'!G12-$C12)&lt;VisitHrs/24))-1)+('Anita Klesch'!$B12=$B12)*($C12&lt;DayEnd)*($C12+VisitHrs/24&gt;DayStart)+('Anita Klesch'!$C12=$B12)*((($C12+VisitHrs/24&gt;DayEnd)+($C12&lt;DayStart))&gt;0)+('Test Patient 2'!$B12=$B12)*($C12&lt;DayEnd)*($C12+VisitHrs/24&gt;DayStart)+('Test Patient 2'!$C12=$B12)*((($C12+VisitHrs/24&gt;DayEnd)+($C12&lt;DayStart))&gt;0)&gt;=1,1,0),0)</f>
        <v>0</v>
      </c>
      <c r="K12" s="12">
        <f>IF(AND($H12=1,$D12&lt;&gt;"",ISNUMBER($E12)),IF(((('Lucy Levene'!B12=$D12)*ISNUMBER('Lucy Levene'!C12)*(ABS('Lucy Levene'!C12-$E12)&lt;VisitHrs/24)+('Lucy Levene'!D12=$D12)*ISNUMBER('Lucy Levene'!E12)*(ABS('Lucy Levene'!E12-$E12)&lt;VisitHrs/24)+('Lucy Levene'!F12=$D12)*ISNUMBER('Lucy Levene'!G12)*(ABS('Lucy Levene'!G12-$E12)&lt;VisitHrs/24)+('Tom Bock'!B12=$D12)*ISNUMBER('Tom Bock'!C12)*(ABS('Tom Bock'!C12-$E12)&lt;VisitHrs/24)+('Tom Bock'!D12=$D12)*ISNUMBER('Tom Bock'!E12)*(ABS('Tom Bock'!E12-$E12)&lt;VisitHrs/24)+('Tom Bock'!F12=$D12)*ISNUMBER('Tom Bock'!G12)*(ABS('Tom Bock'!G12-$E12)&lt;VisitHrs/24)+(Jeremy!B12=$D12)*ISNUMBER(Jeremy!C12)*(ABS(Jeremy!C12-$E12)&lt;VisitHrs/24)+(Jeremy!D12=$D12)*ISNUMBER(Jeremy!E12)*(ABS(Jeremy!E12-$E12)&lt;VisitHrs/24)+(Jeremy!F12=$D12)*ISNUMBER(Jeremy!G12)*(ABS(Jeremy!G12-$E12)&lt;VisitHrs/24)+('Test Patient'!B12=$D12)*ISNUMBER('Test Patient'!C12)*(ABS('Test Patient'!C12-$E12)&lt;VisitHrs/24)+('Test Patient'!D12=$D12)*ISNUMBER('Test Patient'!E12)*(ABS('Test Patient'!E12-$E12)&lt;VisitHrs/24)+('Test Patient'!F12=$D12)*ISNUMBER('Test Patient'!G12)*(ABS('Test Patient'!G12-$E12)&lt;VisitHrs/24))-1)+('Anita Klesch'!$B12=$D12)*($E12&lt;DayEnd)*($E12+VisitHrs/24&gt;DayStart)+('Anita Klesch'!$C12=$D12)*((($E12+VisitHrs/24&gt;DayEnd)+($E12&lt;DayStart))&gt;0)+('Test Patient 2'!$B12=$D12)*($E12&lt;DayEnd)*($E12+VisitHrs/24&gt;DayStart)+('Test Patient 2'!$C12=$D12)*((($E12+VisitHrs/24&gt;DayEnd)+($E12&lt;DayStart))&gt;0)&gt;=1,1,0),0)</f>
        <v>0</v>
      </c>
      <c r="L12" s="12">
        <f>IF(AND($H12=1,$F12&lt;&gt;"",ISNUMBER($G12)),IF(((('Lucy Levene'!B12=$F12)*ISNUMBER('Lucy Levene'!C12)*(ABS('Lucy Levene'!C12-$G12)&lt;VisitHrs/24)+('Lucy Levene'!D12=$F12)*ISNUMBER('Lucy Levene'!E12)*(ABS('Lucy Levene'!E12-$G12)&lt;VisitHrs/24)+('Lucy Levene'!F12=$F12)*ISNUMBER('Lucy Levene'!G12)*(ABS('Lucy Levene'!G12-$G12)&lt;VisitHrs/24)+('Tom Bock'!B12=$F12)*ISNUMBER('Tom Bock'!C12)*(ABS('Tom Bock'!C12-$G12)&lt;VisitHrs/24)+('Tom Bock'!D12=$F12)*ISNUMBER('Tom Bock'!E12)*(ABS('Tom Bock'!E12-$G12)&lt;VisitHrs/24)+('Tom Bock'!F12=$F12)*ISNUMBER('Tom Bock'!G12)*(ABS('Tom Bock'!G12-$G12)&lt;VisitHrs/24)+(Jeremy!B12=$F12)*ISNUMBER(Jeremy!C12)*(ABS(Jeremy!C12-$G12)&lt;VisitHrs/24)+(Jeremy!D12=$F12)*ISNUMBER(Jeremy!E12)*(ABS(Jeremy!E12-$G12)&lt;VisitHrs/24)+(Jeremy!F12=$F12)*ISNUMBER(Jeremy!G12)*(ABS(Jeremy!G12-$G12)&lt;VisitHrs/24)+('Test Patient'!B12=$F12)*ISNUMBER('Test Patient'!C12)*(ABS('Test Patient'!C12-$G12)&lt;VisitHrs/24)+('Test Patient'!D12=$F12)*ISNUMBER('Test Patient'!E12)*(ABS('Test Patient'!E12-$G12)&lt;VisitHrs/24)+('Test Patient'!F12=$F12)*ISNUMBER('Test Patient'!G12)*(ABS('Test Patient'!G12-$G12)&lt;VisitHrs/24))-1)+('Anita Klesch'!$B12=$F12)*($G12&lt;DayEnd)*($G12+VisitHrs/24&gt;DayStart)+('Anita Klesch'!$C12=$F12)*((($G12+VisitHrs/24&gt;DayEnd)+($G12&lt;DayStart))&gt;0)+('Test Patient 2'!$B12=$F12)*($G12&lt;DayEnd)*($G12+VisitHrs/24&gt;DayStart)+('Test Patient 2'!$C12=$F12)*((($G12+VisitHrs/24&gt;DayEnd)+($G12&lt;DayStart))&gt;0)&gt;=1,1,0),0)</f>
        <v>0</v>
      </c>
      <c r="M12" s="12" t="str">
        <f t="shared" si="2"/>
        <v/>
      </c>
      <c r="N12" s="12" t="str">
        <f t="shared" si="3"/>
        <v/>
      </c>
      <c r="O12" s="12" t="str">
        <f t="shared" si="4"/>
        <v/>
      </c>
    </row>
    <row r="13" spans="1:15" x14ac:dyDescent="0.2">
      <c r="A13" s="2">
        <f t="shared" si="5"/>
        <v>46219</v>
      </c>
      <c r="B13" s="3"/>
      <c r="C13" s="24"/>
      <c r="D13" s="19"/>
      <c r="E13" s="25"/>
      <c r="F13" s="19"/>
      <c r="G13" s="25"/>
      <c r="H13" s="12">
        <f t="shared" si="0"/>
        <v>0</v>
      </c>
      <c r="I13" s="12">
        <f t="shared" si="1"/>
        <v>0</v>
      </c>
      <c r="J13" s="12">
        <f>IF(AND($H13=1,$B13&lt;&gt;"",ISNUMBER($C13)),IF(((('Lucy Levene'!B13=$B13)*ISNUMBER('Lucy Levene'!C13)*(ABS('Lucy Levene'!C13-$C13)&lt;VisitHrs/24)+('Lucy Levene'!D13=$B13)*ISNUMBER('Lucy Levene'!E13)*(ABS('Lucy Levene'!E13-$C13)&lt;VisitHrs/24)+('Lucy Levene'!F13=$B13)*ISNUMBER('Lucy Levene'!G13)*(ABS('Lucy Levene'!G13-$C13)&lt;VisitHrs/24)+('Tom Bock'!B13=$B13)*ISNUMBER('Tom Bock'!C13)*(ABS('Tom Bock'!C13-$C13)&lt;VisitHrs/24)+('Tom Bock'!D13=$B13)*ISNUMBER('Tom Bock'!E13)*(ABS('Tom Bock'!E13-$C13)&lt;VisitHrs/24)+('Tom Bock'!F13=$B13)*ISNUMBER('Tom Bock'!G13)*(ABS('Tom Bock'!G13-$C13)&lt;VisitHrs/24)+(Jeremy!B13=$B13)*ISNUMBER(Jeremy!C13)*(ABS(Jeremy!C13-$C13)&lt;VisitHrs/24)+(Jeremy!D13=$B13)*ISNUMBER(Jeremy!E13)*(ABS(Jeremy!E13-$C13)&lt;VisitHrs/24)+(Jeremy!F13=$B13)*ISNUMBER(Jeremy!G13)*(ABS(Jeremy!G13-$C13)&lt;VisitHrs/24)+('Test Patient'!B13=$B13)*ISNUMBER('Test Patient'!C13)*(ABS('Test Patient'!C13-$C13)&lt;VisitHrs/24)+('Test Patient'!D13=$B13)*ISNUMBER('Test Patient'!E13)*(ABS('Test Patient'!E13-$C13)&lt;VisitHrs/24)+('Test Patient'!F13=$B13)*ISNUMBER('Test Patient'!G13)*(ABS('Test Patient'!G13-$C13)&lt;VisitHrs/24))-1)+('Anita Klesch'!$B13=$B13)*($C13&lt;DayEnd)*($C13+VisitHrs/24&gt;DayStart)+('Anita Klesch'!$C13=$B13)*((($C13+VisitHrs/24&gt;DayEnd)+($C13&lt;DayStart))&gt;0)+('Test Patient 2'!$B13=$B13)*($C13&lt;DayEnd)*($C13+VisitHrs/24&gt;DayStart)+('Test Patient 2'!$C13=$B13)*((($C13+VisitHrs/24&gt;DayEnd)+($C13&lt;DayStart))&gt;0)&gt;=1,1,0),0)</f>
        <v>0</v>
      </c>
      <c r="K13" s="12">
        <f>IF(AND($H13=1,$D13&lt;&gt;"",ISNUMBER($E13)),IF(((('Lucy Levene'!B13=$D13)*ISNUMBER('Lucy Levene'!C13)*(ABS('Lucy Levene'!C13-$E13)&lt;VisitHrs/24)+('Lucy Levene'!D13=$D13)*ISNUMBER('Lucy Levene'!E13)*(ABS('Lucy Levene'!E13-$E13)&lt;VisitHrs/24)+('Lucy Levene'!F13=$D13)*ISNUMBER('Lucy Levene'!G13)*(ABS('Lucy Levene'!G13-$E13)&lt;VisitHrs/24)+('Tom Bock'!B13=$D13)*ISNUMBER('Tom Bock'!C13)*(ABS('Tom Bock'!C13-$E13)&lt;VisitHrs/24)+('Tom Bock'!D13=$D13)*ISNUMBER('Tom Bock'!E13)*(ABS('Tom Bock'!E13-$E13)&lt;VisitHrs/24)+('Tom Bock'!F13=$D13)*ISNUMBER('Tom Bock'!G13)*(ABS('Tom Bock'!G13-$E13)&lt;VisitHrs/24)+(Jeremy!B13=$D13)*ISNUMBER(Jeremy!C13)*(ABS(Jeremy!C13-$E13)&lt;VisitHrs/24)+(Jeremy!D13=$D13)*ISNUMBER(Jeremy!E13)*(ABS(Jeremy!E13-$E13)&lt;VisitHrs/24)+(Jeremy!F13=$D13)*ISNUMBER(Jeremy!G13)*(ABS(Jeremy!G13-$E13)&lt;VisitHrs/24)+('Test Patient'!B13=$D13)*ISNUMBER('Test Patient'!C13)*(ABS('Test Patient'!C13-$E13)&lt;VisitHrs/24)+('Test Patient'!D13=$D13)*ISNUMBER('Test Patient'!E13)*(ABS('Test Patient'!E13-$E13)&lt;VisitHrs/24)+('Test Patient'!F13=$D13)*ISNUMBER('Test Patient'!G13)*(ABS('Test Patient'!G13-$E13)&lt;VisitHrs/24))-1)+('Anita Klesch'!$B13=$D13)*($E13&lt;DayEnd)*($E13+VisitHrs/24&gt;DayStart)+('Anita Klesch'!$C13=$D13)*((($E13+VisitHrs/24&gt;DayEnd)+($E13&lt;DayStart))&gt;0)+('Test Patient 2'!$B13=$D13)*($E13&lt;DayEnd)*($E13+VisitHrs/24&gt;DayStart)+('Test Patient 2'!$C13=$D13)*((($E13+VisitHrs/24&gt;DayEnd)+($E13&lt;DayStart))&gt;0)&gt;=1,1,0),0)</f>
        <v>0</v>
      </c>
      <c r="L13" s="12">
        <f>IF(AND($H13=1,$F13&lt;&gt;"",ISNUMBER($G13)),IF(((('Lucy Levene'!B13=$F13)*ISNUMBER('Lucy Levene'!C13)*(ABS('Lucy Levene'!C13-$G13)&lt;VisitHrs/24)+('Lucy Levene'!D13=$F13)*ISNUMBER('Lucy Levene'!E13)*(ABS('Lucy Levene'!E13-$G13)&lt;VisitHrs/24)+('Lucy Levene'!F13=$F13)*ISNUMBER('Lucy Levene'!G13)*(ABS('Lucy Levene'!G13-$G13)&lt;VisitHrs/24)+('Tom Bock'!B13=$F13)*ISNUMBER('Tom Bock'!C13)*(ABS('Tom Bock'!C13-$G13)&lt;VisitHrs/24)+('Tom Bock'!D13=$F13)*ISNUMBER('Tom Bock'!E13)*(ABS('Tom Bock'!E13-$G13)&lt;VisitHrs/24)+('Tom Bock'!F13=$F13)*ISNUMBER('Tom Bock'!G13)*(ABS('Tom Bock'!G13-$G13)&lt;VisitHrs/24)+(Jeremy!B13=$F13)*ISNUMBER(Jeremy!C13)*(ABS(Jeremy!C13-$G13)&lt;VisitHrs/24)+(Jeremy!D13=$F13)*ISNUMBER(Jeremy!E13)*(ABS(Jeremy!E13-$G13)&lt;VisitHrs/24)+(Jeremy!F13=$F13)*ISNUMBER(Jeremy!G13)*(ABS(Jeremy!G13-$G13)&lt;VisitHrs/24)+('Test Patient'!B13=$F13)*ISNUMBER('Test Patient'!C13)*(ABS('Test Patient'!C13-$G13)&lt;VisitHrs/24)+('Test Patient'!D13=$F13)*ISNUMBER('Test Patient'!E13)*(ABS('Test Patient'!E13-$G13)&lt;VisitHrs/24)+('Test Patient'!F13=$F13)*ISNUMBER('Test Patient'!G13)*(ABS('Test Patient'!G13-$G13)&lt;VisitHrs/24))-1)+('Anita Klesch'!$B13=$F13)*($G13&lt;DayEnd)*($G13+VisitHrs/24&gt;DayStart)+('Anita Klesch'!$C13=$F13)*((($G13+VisitHrs/24&gt;DayEnd)+($G13&lt;DayStart))&gt;0)+('Test Patient 2'!$B13=$F13)*($G13&lt;DayEnd)*($G13+VisitHrs/24&gt;DayStart)+('Test Patient 2'!$C13=$F13)*((($G13+VisitHrs/24&gt;DayEnd)+($G13&lt;DayStart))&gt;0)&gt;=1,1,0),0)</f>
        <v>0</v>
      </c>
      <c r="M13" s="12" t="str">
        <f t="shared" si="2"/>
        <v/>
      </c>
      <c r="N13" s="12" t="str">
        <f t="shared" si="3"/>
        <v/>
      </c>
      <c r="O13" s="12" t="str">
        <f t="shared" si="4"/>
        <v/>
      </c>
    </row>
    <row r="14" spans="1:15" x14ac:dyDescent="0.2">
      <c r="A14" s="2">
        <f t="shared" si="5"/>
        <v>46220</v>
      </c>
      <c r="B14" s="3"/>
      <c r="C14" s="24"/>
      <c r="D14" s="19"/>
      <c r="E14" s="25"/>
      <c r="F14" s="19"/>
      <c r="G14" s="25"/>
      <c r="H14" s="12">
        <f t="shared" si="0"/>
        <v>1</v>
      </c>
      <c r="I14" s="12">
        <f t="shared" si="1"/>
        <v>0</v>
      </c>
      <c r="J14" s="12">
        <f>IF(AND($H14=1,$B14&lt;&gt;"",ISNUMBER($C14)),IF(((('Lucy Levene'!B14=$B14)*ISNUMBER('Lucy Levene'!C14)*(ABS('Lucy Levene'!C14-$C14)&lt;VisitHrs/24)+('Lucy Levene'!D14=$B14)*ISNUMBER('Lucy Levene'!E14)*(ABS('Lucy Levene'!E14-$C14)&lt;VisitHrs/24)+('Lucy Levene'!F14=$B14)*ISNUMBER('Lucy Levene'!G14)*(ABS('Lucy Levene'!G14-$C14)&lt;VisitHrs/24)+('Tom Bock'!B14=$B14)*ISNUMBER('Tom Bock'!C14)*(ABS('Tom Bock'!C14-$C14)&lt;VisitHrs/24)+('Tom Bock'!D14=$B14)*ISNUMBER('Tom Bock'!E14)*(ABS('Tom Bock'!E14-$C14)&lt;VisitHrs/24)+('Tom Bock'!F14=$B14)*ISNUMBER('Tom Bock'!G14)*(ABS('Tom Bock'!G14-$C14)&lt;VisitHrs/24)+(Jeremy!B14=$B14)*ISNUMBER(Jeremy!C14)*(ABS(Jeremy!C14-$C14)&lt;VisitHrs/24)+(Jeremy!D14=$B14)*ISNUMBER(Jeremy!E14)*(ABS(Jeremy!E14-$C14)&lt;VisitHrs/24)+(Jeremy!F14=$B14)*ISNUMBER(Jeremy!G14)*(ABS(Jeremy!G14-$C14)&lt;VisitHrs/24)+('Test Patient'!B14=$B14)*ISNUMBER('Test Patient'!C14)*(ABS('Test Patient'!C14-$C14)&lt;VisitHrs/24)+('Test Patient'!D14=$B14)*ISNUMBER('Test Patient'!E14)*(ABS('Test Patient'!E14-$C14)&lt;VisitHrs/24)+('Test Patient'!F14=$B14)*ISNUMBER('Test Patient'!G14)*(ABS('Test Patient'!G14-$C14)&lt;VisitHrs/24))-1)+('Anita Klesch'!$B14=$B14)*($C14&lt;DayEnd)*($C14+VisitHrs/24&gt;DayStart)+('Anita Klesch'!$C14=$B14)*((($C14+VisitHrs/24&gt;DayEnd)+($C14&lt;DayStart))&gt;0)+('Test Patient 2'!$B14=$B14)*($C14&lt;DayEnd)*($C14+VisitHrs/24&gt;DayStart)+('Test Patient 2'!$C14=$B14)*((($C14+VisitHrs/24&gt;DayEnd)+($C14&lt;DayStart))&gt;0)&gt;=1,1,0),0)</f>
        <v>0</v>
      </c>
      <c r="K14" s="12">
        <f>IF(AND($H14=1,$D14&lt;&gt;"",ISNUMBER($E14)),IF(((('Lucy Levene'!B14=$D14)*ISNUMBER('Lucy Levene'!C14)*(ABS('Lucy Levene'!C14-$E14)&lt;VisitHrs/24)+('Lucy Levene'!D14=$D14)*ISNUMBER('Lucy Levene'!E14)*(ABS('Lucy Levene'!E14-$E14)&lt;VisitHrs/24)+('Lucy Levene'!F14=$D14)*ISNUMBER('Lucy Levene'!G14)*(ABS('Lucy Levene'!G14-$E14)&lt;VisitHrs/24)+('Tom Bock'!B14=$D14)*ISNUMBER('Tom Bock'!C14)*(ABS('Tom Bock'!C14-$E14)&lt;VisitHrs/24)+('Tom Bock'!D14=$D14)*ISNUMBER('Tom Bock'!E14)*(ABS('Tom Bock'!E14-$E14)&lt;VisitHrs/24)+('Tom Bock'!F14=$D14)*ISNUMBER('Tom Bock'!G14)*(ABS('Tom Bock'!G14-$E14)&lt;VisitHrs/24)+(Jeremy!B14=$D14)*ISNUMBER(Jeremy!C14)*(ABS(Jeremy!C14-$E14)&lt;VisitHrs/24)+(Jeremy!D14=$D14)*ISNUMBER(Jeremy!E14)*(ABS(Jeremy!E14-$E14)&lt;VisitHrs/24)+(Jeremy!F14=$D14)*ISNUMBER(Jeremy!G14)*(ABS(Jeremy!G14-$E14)&lt;VisitHrs/24)+('Test Patient'!B14=$D14)*ISNUMBER('Test Patient'!C14)*(ABS('Test Patient'!C14-$E14)&lt;VisitHrs/24)+('Test Patient'!D14=$D14)*ISNUMBER('Test Patient'!E14)*(ABS('Test Patient'!E14-$E14)&lt;VisitHrs/24)+('Test Patient'!F14=$D14)*ISNUMBER('Test Patient'!G14)*(ABS('Test Patient'!G14-$E14)&lt;VisitHrs/24))-1)+('Anita Klesch'!$B14=$D14)*($E14&lt;DayEnd)*($E14+VisitHrs/24&gt;DayStart)+('Anita Klesch'!$C14=$D14)*((($E14+VisitHrs/24&gt;DayEnd)+($E14&lt;DayStart))&gt;0)+('Test Patient 2'!$B14=$D14)*($E14&lt;DayEnd)*($E14+VisitHrs/24&gt;DayStart)+('Test Patient 2'!$C14=$D14)*((($E14+VisitHrs/24&gt;DayEnd)+($E14&lt;DayStart))&gt;0)&gt;=1,1,0),0)</f>
        <v>0</v>
      </c>
      <c r="L14" s="12">
        <f>IF(AND($H14=1,$F14&lt;&gt;"",ISNUMBER($G14)),IF(((('Lucy Levene'!B14=$F14)*ISNUMBER('Lucy Levene'!C14)*(ABS('Lucy Levene'!C14-$G14)&lt;VisitHrs/24)+('Lucy Levene'!D14=$F14)*ISNUMBER('Lucy Levene'!E14)*(ABS('Lucy Levene'!E14-$G14)&lt;VisitHrs/24)+('Lucy Levene'!F14=$F14)*ISNUMBER('Lucy Levene'!G14)*(ABS('Lucy Levene'!G14-$G14)&lt;VisitHrs/24)+('Tom Bock'!B14=$F14)*ISNUMBER('Tom Bock'!C14)*(ABS('Tom Bock'!C14-$G14)&lt;VisitHrs/24)+('Tom Bock'!D14=$F14)*ISNUMBER('Tom Bock'!E14)*(ABS('Tom Bock'!E14-$G14)&lt;VisitHrs/24)+('Tom Bock'!F14=$F14)*ISNUMBER('Tom Bock'!G14)*(ABS('Tom Bock'!G14-$G14)&lt;VisitHrs/24)+(Jeremy!B14=$F14)*ISNUMBER(Jeremy!C14)*(ABS(Jeremy!C14-$G14)&lt;VisitHrs/24)+(Jeremy!D14=$F14)*ISNUMBER(Jeremy!E14)*(ABS(Jeremy!E14-$G14)&lt;VisitHrs/24)+(Jeremy!F14=$F14)*ISNUMBER(Jeremy!G14)*(ABS(Jeremy!G14-$G14)&lt;VisitHrs/24)+('Test Patient'!B14=$F14)*ISNUMBER('Test Patient'!C14)*(ABS('Test Patient'!C14-$G14)&lt;VisitHrs/24)+('Test Patient'!D14=$F14)*ISNUMBER('Test Patient'!E14)*(ABS('Test Patient'!E14-$G14)&lt;VisitHrs/24)+('Test Patient'!F14=$F14)*ISNUMBER('Test Patient'!G14)*(ABS('Test Patient'!G14-$G14)&lt;VisitHrs/24))-1)+('Anita Klesch'!$B14=$F14)*($G14&lt;DayEnd)*($G14+VisitHrs/24&gt;DayStart)+('Anita Klesch'!$C14=$F14)*((($G14+VisitHrs/24&gt;DayEnd)+($G14&lt;DayStart))&gt;0)+('Test Patient 2'!$B14=$F14)*($G14&lt;DayEnd)*($G14+VisitHrs/24&gt;DayStart)+('Test Patient 2'!$C14=$F14)*((($G14+VisitHrs/24&gt;DayEnd)+($G14&lt;DayStart))&gt;0)&gt;=1,1,0),0)</f>
        <v>0</v>
      </c>
      <c r="M14" s="12">
        <f t="shared" si="2"/>
        <v>0</v>
      </c>
      <c r="N14" s="12">
        <f t="shared" si="3"/>
        <v>0</v>
      </c>
      <c r="O14" s="12">
        <f t="shared" si="4"/>
        <v>0</v>
      </c>
    </row>
    <row r="15" spans="1:15" x14ac:dyDescent="0.2">
      <c r="A15" s="2">
        <f t="shared" si="5"/>
        <v>46221</v>
      </c>
      <c r="B15" s="3"/>
      <c r="C15" s="24"/>
      <c r="D15" s="19"/>
      <c r="E15" s="25"/>
      <c r="F15" s="19"/>
      <c r="G15" s="25"/>
      <c r="H15" s="12">
        <f t="shared" si="0"/>
        <v>1</v>
      </c>
      <c r="I15" s="12">
        <f t="shared" si="1"/>
        <v>0</v>
      </c>
      <c r="J15" s="12">
        <f>IF(AND($H15=1,$B15&lt;&gt;"",ISNUMBER($C15)),IF(((('Lucy Levene'!B15=$B15)*ISNUMBER('Lucy Levene'!C15)*(ABS('Lucy Levene'!C15-$C15)&lt;VisitHrs/24)+('Lucy Levene'!D15=$B15)*ISNUMBER('Lucy Levene'!E15)*(ABS('Lucy Levene'!E15-$C15)&lt;VisitHrs/24)+('Lucy Levene'!F15=$B15)*ISNUMBER('Lucy Levene'!G15)*(ABS('Lucy Levene'!G15-$C15)&lt;VisitHrs/24)+('Tom Bock'!B15=$B15)*ISNUMBER('Tom Bock'!C15)*(ABS('Tom Bock'!C15-$C15)&lt;VisitHrs/24)+('Tom Bock'!D15=$B15)*ISNUMBER('Tom Bock'!E15)*(ABS('Tom Bock'!E15-$C15)&lt;VisitHrs/24)+('Tom Bock'!F15=$B15)*ISNUMBER('Tom Bock'!G15)*(ABS('Tom Bock'!G15-$C15)&lt;VisitHrs/24)+(Jeremy!B15=$B15)*ISNUMBER(Jeremy!C15)*(ABS(Jeremy!C15-$C15)&lt;VisitHrs/24)+(Jeremy!D15=$B15)*ISNUMBER(Jeremy!E15)*(ABS(Jeremy!E15-$C15)&lt;VisitHrs/24)+(Jeremy!F15=$B15)*ISNUMBER(Jeremy!G15)*(ABS(Jeremy!G15-$C15)&lt;VisitHrs/24)+('Test Patient'!B15=$B15)*ISNUMBER('Test Patient'!C15)*(ABS('Test Patient'!C15-$C15)&lt;VisitHrs/24)+('Test Patient'!D15=$B15)*ISNUMBER('Test Patient'!E15)*(ABS('Test Patient'!E15-$C15)&lt;VisitHrs/24)+('Test Patient'!F15=$B15)*ISNUMBER('Test Patient'!G15)*(ABS('Test Patient'!G15-$C15)&lt;VisitHrs/24))-1)+('Anita Klesch'!$B15=$B15)*($C15&lt;DayEnd)*($C15+VisitHrs/24&gt;DayStart)+('Anita Klesch'!$C15=$B15)*((($C15+VisitHrs/24&gt;DayEnd)+($C15&lt;DayStart))&gt;0)+('Test Patient 2'!$B15=$B15)*($C15&lt;DayEnd)*($C15+VisitHrs/24&gt;DayStart)+('Test Patient 2'!$C15=$B15)*((($C15+VisitHrs/24&gt;DayEnd)+($C15&lt;DayStart))&gt;0)&gt;=1,1,0),0)</f>
        <v>0</v>
      </c>
      <c r="K15" s="12">
        <f>IF(AND($H15=1,$D15&lt;&gt;"",ISNUMBER($E15)),IF(((('Lucy Levene'!B15=$D15)*ISNUMBER('Lucy Levene'!C15)*(ABS('Lucy Levene'!C15-$E15)&lt;VisitHrs/24)+('Lucy Levene'!D15=$D15)*ISNUMBER('Lucy Levene'!E15)*(ABS('Lucy Levene'!E15-$E15)&lt;VisitHrs/24)+('Lucy Levene'!F15=$D15)*ISNUMBER('Lucy Levene'!G15)*(ABS('Lucy Levene'!G15-$E15)&lt;VisitHrs/24)+('Tom Bock'!B15=$D15)*ISNUMBER('Tom Bock'!C15)*(ABS('Tom Bock'!C15-$E15)&lt;VisitHrs/24)+('Tom Bock'!D15=$D15)*ISNUMBER('Tom Bock'!E15)*(ABS('Tom Bock'!E15-$E15)&lt;VisitHrs/24)+('Tom Bock'!F15=$D15)*ISNUMBER('Tom Bock'!G15)*(ABS('Tom Bock'!G15-$E15)&lt;VisitHrs/24)+(Jeremy!B15=$D15)*ISNUMBER(Jeremy!C15)*(ABS(Jeremy!C15-$E15)&lt;VisitHrs/24)+(Jeremy!D15=$D15)*ISNUMBER(Jeremy!E15)*(ABS(Jeremy!E15-$E15)&lt;VisitHrs/24)+(Jeremy!F15=$D15)*ISNUMBER(Jeremy!G15)*(ABS(Jeremy!G15-$E15)&lt;VisitHrs/24)+('Test Patient'!B15=$D15)*ISNUMBER('Test Patient'!C15)*(ABS('Test Patient'!C15-$E15)&lt;VisitHrs/24)+('Test Patient'!D15=$D15)*ISNUMBER('Test Patient'!E15)*(ABS('Test Patient'!E15-$E15)&lt;VisitHrs/24)+('Test Patient'!F15=$D15)*ISNUMBER('Test Patient'!G15)*(ABS('Test Patient'!G15-$E15)&lt;VisitHrs/24))-1)+('Anita Klesch'!$B15=$D15)*($E15&lt;DayEnd)*($E15+VisitHrs/24&gt;DayStart)+('Anita Klesch'!$C15=$D15)*((($E15+VisitHrs/24&gt;DayEnd)+($E15&lt;DayStart))&gt;0)+('Test Patient 2'!$B15=$D15)*($E15&lt;DayEnd)*($E15+VisitHrs/24&gt;DayStart)+('Test Patient 2'!$C15=$D15)*((($E15+VisitHrs/24&gt;DayEnd)+($E15&lt;DayStart))&gt;0)&gt;=1,1,0),0)</f>
        <v>0</v>
      </c>
      <c r="L15" s="12">
        <f>IF(AND($H15=1,$F15&lt;&gt;"",ISNUMBER($G15)),IF(((('Lucy Levene'!B15=$F15)*ISNUMBER('Lucy Levene'!C15)*(ABS('Lucy Levene'!C15-$G15)&lt;VisitHrs/24)+('Lucy Levene'!D15=$F15)*ISNUMBER('Lucy Levene'!E15)*(ABS('Lucy Levene'!E15-$G15)&lt;VisitHrs/24)+('Lucy Levene'!F15=$F15)*ISNUMBER('Lucy Levene'!G15)*(ABS('Lucy Levene'!G15-$G15)&lt;VisitHrs/24)+('Tom Bock'!B15=$F15)*ISNUMBER('Tom Bock'!C15)*(ABS('Tom Bock'!C15-$G15)&lt;VisitHrs/24)+('Tom Bock'!D15=$F15)*ISNUMBER('Tom Bock'!E15)*(ABS('Tom Bock'!E15-$G15)&lt;VisitHrs/24)+('Tom Bock'!F15=$F15)*ISNUMBER('Tom Bock'!G15)*(ABS('Tom Bock'!G15-$G15)&lt;VisitHrs/24)+(Jeremy!B15=$F15)*ISNUMBER(Jeremy!C15)*(ABS(Jeremy!C15-$G15)&lt;VisitHrs/24)+(Jeremy!D15=$F15)*ISNUMBER(Jeremy!E15)*(ABS(Jeremy!E15-$G15)&lt;VisitHrs/24)+(Jeremy!F15=$F15)*ISNUMBER(Jeremy!G15)*(ABS(Jeremy!G15-$G15)&lt;VisitHrs/24)+('Test Patient'!B15=$F15)*ISNUMBER('Test Patient'!C15)*(ABS('Test Patient'!C15-$G15)&lt;VisitHrs/24)+('Test Patient'!D15=$F15)*ISNUMBER('Test Patient'!E15)*(ABS('Test Patient'!E15-$G15)&lt;VisitHrs/24)+('Test Patient'!F15=$F15)*ISNUMBER('Test Patient'!G15)*(ABS('Test Patient'!G15-$G15)&lt;VisitHrs/24))-1)+('Anita Klesch'!$B15=$F15)*($G15&lt;DayEnd)*($G15+VisitHrs/24&gt;DayStart)+('Anita Klesch'!$C15=$F15)*((($G15+VisitHrs/24&gt;DayEnd)+($G15&lt;DayStart))&gt;0)+('Test Patient 2'!$B15=$F15)*($G15&lt;DayEnd)*($G15+VisitHrs/24&gt;DayStart)+('Test Patient 2'!$C15=$F15)*((($G15+VisitHrs/24&gt;DayEnd)+($G15&lt;DayStart))&gt;0)&gt;=1,1,0),0)</f>
        <v>0</v>
      </c>
      <c r="M15" s="12">
        <f t="shared" si="2"/>
        <v>0</v>
      </c>
      <c r="N15" s="12">
        <f t="shared" si="3"/>
        <v>0</v>
      </c>
      <c r="O15" s="12">
        <f t="shared" si="4"/>
        <v>0</v>
      </c>
    </row>
    <row r="16" spans="1:15" x14ac:dyDescent="0.2">
      <c r="A16" s="2">
        <f t="shared" si="5"/>
        <v>46222</v>
      </c>
      <c r="B16" s="3"/>
      <c r="C16" s="24"/>
      <c r="D16" s="19"/>
      <c r="E16" s="25"/>
      <c r="F16" s="19"/>
      <c r="G16" s="25"/>
      <c r="H16" s="12">
        <f t="shared" si="0"/>
        <v>1</v>
      </c>
      <c r="I16" s="12">
        <f t="shared" si="1"/>
        <v>0</v>
      </c>
      <c r="J16" s="12">
        <f>IF(AND($H16=1,$B16&lt;&gt;"",ISNUMBER($C16)),IF(((('Lucy Levene'!B16=$B16)*ISNUMBER('Lucy Levene'!C16)*(ABS('Lucy Levene'!C16-$C16)&lt;VisitHrs/24)+('Lucy Levene'!D16=$B16)*ISNUMBER('Lucy Levene'!E16)*(ABS('Lucy Levene'!E16-$C16)&lt;VisitHrs/24)+('Lucy Levene'!F16=$B16)*ISNUMBER('Lucy Levene'!G16)*(ABS('Lucy Levene'!G16-$C16)&lt;VisitHrs/24)+('Tom Bock'!B16=$B16)*ISNUMBER('Tom Bock'!C16)*(ABS('Tom Bock'!C16-$C16)&lt;VisitHrs/24)+('Tom Bock'!D16=$B16)*ISNUMBER('Tom Bock'!E16)*(ABS('Tom Bock'!E16-$C16)&lt;VisitHrs/24)+('Tom Bock'!F16=$B16)*ISNUMBER('Tom Bock'!G16)*(ABS('Tom Bock'!G16-$C16)&lt;VisitHrs/24)+(Jeremy!B16=$B16)*ISNUMBER(Jeremy!C16)*(ABS(Jeremy!C16-$C16)&lt;VisitHrs/24)+(Jeremy!D16=$B16)*ISNUMBER(Jeremy!E16)*(ABS(Jeremy!E16-$C16)&lt;VisitHrs/24)+(Jeremy!F16=$B16)*ISNUMBER(Jeremy!G16)*(ABS(Jeremy!G16-$C16)&lt;VisitHrs/24)+('Test Patient'!B16=$B16)*ISNUMBER('Test Patient'!C16)*(ABS('Test Patient'!C16-$C16)&lt;VisitHrs/24)+('Test Patient'!D16=$B16)*ISNUMBER('Test Patient'!E16)*(ABS('Test Patient'!E16-$C16)&lt;VisitHrs/24)+('Test Patient'!F16=$B16)*ISNUMBER('Test Patient'!G16)*(ABS('Test Patient'!G16-$C16)&lt;VisitHrs/24))-1)+('Anita Klesch'!$B16=$B16)*($C16&lt;DayEnd)*($C16+VisitHrs/24&gt;DayStart)+('Anita Klesch'!$C16=$B16)*((($C16+VisitHrs/24&gt;DayEnd)+($C16&lt;DayStart))&gt;0)+('Test Patient 2'!$B16=$B16)*($C16&lt;DayEnd)*($C16+VisitHrs/24&gt;DayStart)+('Test Patient 2'!$C16=$B16)*((($C16+VisitHrs/24&gt;DayEnd)+($C16&lt;DayStart))&gt;0)&gt;=1,1,0),0)</f>
        <v>0</v>
      </c>
      <c r="K16" s="12">
        <f>IF(AND($H16=1,$D16&lt;&gt;"",ISNUMBER($E16)),IF(((('Lucy Levene'!B16=$D16)*ISNUMBER('Lucy Levene'!C16)*(ABS('Lucy Levene'!C16-$E16)&lt;VisitHrs/24)+('Lucy Levene'!D16=$D16)*ISNUMBER('Lucy Levene'!E16)*(ABS('Lucy Levene'!E16-$E16)&lt;VisitHrs/24)+('Lucy Levene'!F16=$D16)*ISNUMBER('Lucy Levene'!G16)*(ABS('Lucy Levene'!G16-$E16)&lt;VisitHrs/24)+('Tom Bock'!B16=$D16)*ISNUMBER('Tom Bock'!C16)*(ABS('Tom Bock'!C16-$E16)&lt;VisitHrs/24)+('Tom Bock'!D16=$D16)*ISNUMBER('Tom Bock'!E16)*(ABS('Tom Bock'!E16-$E16)&lt;VisitHrs/24)+('Tom Bock'!F16=$D16)*ISNUMBER('Tom Bock'!G16)*(ABS('Tom Bock'!G16-$E16)&lt;VisitHrs/24)+(Jeremy!B16=$D16)*ISNUMBER(Jeremy!C16)*(ABS(Jeremy!C16-$E16)&lt;VisitHrs/24)+(Jeremy!D16=$D16)*ISNUMBER(Jeremy!E16)*(ABS(Jeremy!E16-$E16)&lt;VisitHrs/24)+(Jeremy!F16=$D16)*ISNUMBER(Jeremy!G16)*(ABS(Jeremy!G16-$E16)&lt;VisitHrs/24)+('Test Patient'!B16=$D16)*ISNUMBER('Test Patient'!C16)*(ABS('Test Patient'!C16-$E16)&lt;VisitHrs/24)+('Test Patient'!D16=$D16)*ISNUMBER('Test Patient'!E16)*(ABS('Test Patient'!E16-$E16)&lt;VisitHrs/24)+('Test Patient'!F16=$D16)*ISNUMBER('Test Patient'!G16)*(ABS('Test Patient'!G16-$E16)&lt;VisitHrs/24))-1)+('Anita Klesch'!$B16=$D16)*($E16&lt;DayEnd)*($E16+VisitHrs/24&gt;DayStart)+('Anita Klesch'!$C16=$D16)*((($E16+VisitHrs/24&gt;DayEnd)+($E16&lt;DayStart))&gt;0)+('Test Patient 2'!$B16=$D16)*($E16&lt;DayEnd)*($E16+VisitHrs/24&gt;DayStart)+('Test Patient 2'!$C16=$D16)*((($E16+VisitHrs/24&gt;DayEnd)+($E16&lt;DayStart))&gt;0)&gt;=1,1,0),0)</f>
        <v>0</v>
      </c>
      <c r="L16" s="12">
        <f>IF(AND($H16=1,$F16&lt;&gt;"",ISNUMBER($G16)),IF(((('Lucy Levene'!B16=$F16)*ISNUMBER('Lucy Levene'!C16)*(ABS('Lucy Levene'!C16-$G16)&lt;VisitHrs/24)+('Lucy Levene'!D16=$F16)*ISNUMBER('Lucy Levene'!E16)*(ABS('Lucy Levene'!E16-$G16)&lt;VisitHrs/24)+('Lucy Levene'!F16=$F16)*ISNUMBER('Lucy Levene'!G16)*(ABS('Lucy Levene'!G16-$G16)&lt;VisitHrs/24)+('Tom Bock'!B16=$F16)*ISNUMBER('Tom Bock'!C16)*(ABS('Tom Bock'!C16-$G16)&lt;VisitHrs/24)+('Tom Bock'!D16=$F16)*ISNUMBER('Tom Bock'!E16)*(ABS('Tom Bock'!E16-$G16)&lt;VisitHrs/24)+('Tom Bock'!F16=$F16)*ISNUMBER('Tom Bock'!G16)*(ABS('Tom Bock'!G16-$G16)&lt;VisitHrs/24)+(Jeremy!B16=$F16)*ISNUMBER(Jeremy!C16)*(ABS(Jeremy!C16-$G16)&lt;VisitHrs/24)+(Jeremy!D16=$F16)*ISNUMBER(Jeremy!E16)*(ABS(Jeremy!E16-$G16)&lt;VisitHrs/24)+(Jeremy!F16=$F16)*ISNUMBER(Jeremy!G16)*(ABS(Jeremy!G16-$G16)&lt;VisitHrs/24)+('Test Patient'!B16=$F16)*ISNUMBER('Test Patient'!C16)*(ABS('Test Patient'!C16-$G16)&lt;VisitHrs/24)+('Test Patient'!D16=$F16)*ISNUMBER('Test Patient'!E16)*(ABS('Test Patient'!E16-$G16)&lt;VisitHrs/24)+('Test Patient'!F16=$F16)*ISNUMBER('Test Patient'!G16)*(ABS('Test Patient'!G16-$G16)&lt;VisitHrs/24))-1)+('Anita Klesch'!$B16=$F16)*($G16&lt;DayEnd)*($G16+VisitHrs/24&gt;DayStart)+('Anita Klesch'!$C16=$F16)*((($G16+VisitHrs/24&gt;DayEnd)+($G16&lt;DayStart))&gt;0)+('Test Patient 2'!$B16=$F16)*($G16&lt;DayEnd)*($G16+VisitHrs/24&gt;DayStart)+('Test Patient 2'!$C16=$F16)*((($G16+VisitHrs/24&gt;DayEnd)+($G16&lt;DayStart))&gt;0)&gt;=1,1,0),0)</f>
        <v>0</v>
      </c>
      <c r="M16" s="12">
        <f t="shared" si="2"/>
        <v>0</v>
      </c>
      <c r="N16" s="12">
        <f t="shared" si="3"/>
        <v>0</v>
      </c>
      <c r="O16" s="12">
        <f t="shared" si="4"/>
        <v>0</v>
      </c>
    </row>
    <row r="17" spans="1:15" x14ac:dyDescent="0.2">
      <c r="A17" s="2">
        <f t="shared" si="5"/>
        <v>46223</v>
      </c>
      <c r="B17" s="3"/>
      <c r="C17" s="24"/>
      <c r="D17" s="19"/>
      <c r="E17" s="25"/>
      <c r="F17" s="19"/>
      <c r="G17" s="25"/>
      <c r="H17" s="12">
        <f t="shared" si="0"/>
        <v>0</v>
      </c>
      <c r="I17" s="12">
        <f t="shared" si="1"/>
        <v>0</v>
      </c>
      <c r="J17" s="12">
        <f>IF(AND($H17=1,$B17&lt;&gt;"",ISNUMBER($C17)),IF(((('Lucy Levene'!B17=$B17)*ISNUMBER('Lucy Levene'!C17)*(ABS('Lucy Levene'!C17-$C17)&lt;VisitHrs/24)+('Lucy Levene'!D17=$B17)*ISNUMBER('Lucy Levene'!E17)*(ABS('Lucy Levene'!E17-$C17)&lt;VisitHrs/24)+('Lucy Levene'!F17=$B17)*ISNUMBER('Lucy Levene'!G17)*(ABS('Lucy Levene'!G17-$C17)&lt;VisitHrs/24)+('Tom Bock'!B17=$B17)*ISNUMBER('Tom Bock'!C17)*(ABS('Tom Bock'!C17-$C17)&lt;VisitHrs/24)+('Tom Bock'!D17=$B17)*ISNUMBER('Tom Bock'!E17)*(ABS('Tom Bock'!E17-$C17)&lt;VisitHrs/24)+('Tom Bock'!F17=$B17)*ISNUMBER('Tom Bock'!G17)*(ABS('Tom Bock'!G17-$C17)&lt;VisitHrs/24)+(Jeremy!B17=$B17)*ISNUMBER(Jeremy!C17)*(ABS(Jeremy!C17-$C17)&lt;VisitHrs/24)+(Jeremy!D17=$B17)*ISNUMBER(Jeremy!E17)*(ABS(Jeremy!E17-$C17)&lt;VisitHrs/24)+(Jeremy!F17=$B17)*ISNUMBER(Jeremy!G17)*(ABS(Jeremy!G17-$C17)&lt;VisitHrs/24)+('Test Patient'!B17=$B17)*ISNUMBER('Test Patient'!C17)*(ABS('Test Patient'!C17-$C17)&lt;VisitHrs/24)+('Test Patient'!D17=$B17)*ISNUMBER('Test Patient'!E17)*(ABS('Test Patient'!E17-$C17)&lt;VisitHrs/24)+('Test Patient'!F17=$B17)*ISNUMBER('Test Patient'!G17)*(ABS('Test Patient'!G17-$C17)&lt;VisitHrs/24))-1)+('Anita Klesch'!$B17=$B17)*($C17&lt;DayEnd)*($C17+VisitHrs/24&gt;DayStart)+('Anita Klesch'!$C17=$B17)*((($C17+VisitHrs/24&gt;DayEnd)+($C17&lt;DayStart))&gt;0)+('Test Patient 2'!$B17=$B17)*($C17&lt;DayEnd)*($C17+VisitHrs/24&gt;DayStart)+('Test Patient 2'!$C17=$B17)*((($C17+VisitHrs/24&gt;DayEnd)+($C17&lt;DayStart))&gt;0)&gt;=1,1,0),0)</f>
        <v>0</v>
      </c>
      <c r="K17" s="12">
        <f>IF(AND($H17=1,$D17&lt;&gt;"",ISNUMBER($E17)),IF(((('Lucy Levene'!B17=$D17)*ISNUMBER('Lucy Levene'!C17)*(ABS('Lucy Levene'!C17-$E17)&lt;VisitHrs/24)+('Lucy Levene'!D17=$D17)*ISNUMBER('Lucy Levene'!E17)*(ABS('Lucy Levene'!E17-$E17)&lt;VisitHrs/24)+('Lucy Levene'!F17=$D17)*ISNUMBER('Lucy Levene'!G17)*(ABS('Lucy Levene'!G17-$E17)&lt;VisitHrs/24)+('Tom Bock'!B17=$D17)*ISNUMBER('Tom Bock'!C17)*(ABS('Tom Bock'!C17-$E17)&lt;VisitHrs/24)+('Tom Bock'!D17=$D17)*ISNUMBER('Tom Bock'!E17)*(ABS('Tom Bock'!E17-$E17)&lt;VisitHrs/24)+('Tom Bock'!F17=$D17)*ISNUMBER('Tom Bock'!G17)*(ABS('Tom Bock'!G17-$E17)&lt;VisitHrs/24)+(Jeremy!B17=$D17)*ISNUMBER(Jeremy!C17)*(ABS(Jeremy!C17-$E17)&lt;VisitHrs/24)+(Jeremy!D17=$D17)*ISNUMBER(Jeremy!E17)*(ABS(Jeremy!E17-$E17)&lt;VisitHrs/24)+(Jeremy!F17=$D17)*ISNUMBER(Jeremy!G17)*(ABS(Jeremy!G17-$E17)&lt;VisitHrs/24)+('Test Patient'!B17=$D17)*ISNUMBER('Test Patient'!C17)*(ABS('Test Patient'!C17-$E17)&lt;VisitHrs/24)+('Test Patient'!D17=$D17)*ISNUMBER('Test Patient'!E17)*(ABS('Test Patient'!E17-$E17)&lt;VisitHrs/24)+('Test Patient'!F17=$D17)*ISNUMBER('Test Patient'!G17)*(ABS('Test Patient'!G17-$E17)&lt;VisitHrs/24))-1)+('Anita Klesch'!$B17=$D17)*($E17&lt;DayEnd)*($E17+VisitHrs/24&gt;DayStart)+('Anita Klesch'!$C17=$D17)*((($E17+VisitHrs/24&gt;DayEnd)+($E17&lt;DayStart))&gt;0)+('Test Patient 2'!$B17=$D17)*($E17&lt;DayEnd)*($E17+VisitHrs/24&gt;DayStart)+('Test Patient 2'!$C17=$D17)*((($E17+VisitHrs/24&gt;DayEnd)+($E17&lt;DayStart))&gt;0)&gt;=1,1,0),0)</f>
        <v>0</v>
      </c>
      <c r="L17" s="12">
        <f>IF(AND($H17=1,$F17&lt;&gt;"",ISNUMBER($G17)),IF(((('Lucy Levene'!B17=$F17)*ISNUMBER('Lucy Levene'!C17)*(ABS('Lucy Levene'!C17-$G17)&lt;VisitHrs/24)+('Lucy Levene'!D17=$F17)*ISNUMBER('Lucy Levene'!E17)*(ABS('Lucy Levene'!E17-$G17)&lt;VisitHrs/24)+('Lucy Levene'!F17=$F17)*ISNUMBER('Lucy Levene'!G17)*(ABS('Lucy Levene'!G17-$G17)&lt;VisitHrs/24)+('Tom Bock'!B17=$F17)*ISNUMBER('Tom Bock'!C17)*(ABS('Tom Bock'!C17-$G17)&lt;VisitHrs/24)+('Tom Bock'!D17=$F17)*ISNUMBER('Tom Bock'!E17)*(ABS('Tom Bock'!E17-$G17)&lt;VisitHrs/24)+('Tom Bock'!F17=$F17)*ISNUMBER('Tom Bock'!G17)*(ABS('Tom Bock'!G17-$G17)&lt;VisitHrs/24)+(Jeremy!B17=$F17)*ISNUMBER(Jeremy!C17)*(ABS(Jeremy!C17-$G17)&lt;VisitHrs/24)+(Jeremy!D17=$F17)*ISNUMBER(Jeremy!E17)*(ABS(Jeremy!E17-$G17)&lt;VisitHrs/24)+(Jeremy!F17=$F17)*ISNUMBER(Jeremy!G17)*(ABS(Jeremy!G17-$G17)&lt;VisitHrs/24)+('Test Patient'!B17=$F17)*ISNUMBER('Test Patient'!C17)*(ABS('Test Patient'!C17-$G17)&lt;VisitHrs/24)+('Test Patient'!D17=$F17)*ISNUMBER('Test Patient'!E17)*(ABS('Test Patient'!E17-$G17)&lt;VisitHrs/24)+('Test Patient'!F17=$F17)*ISNUMBER('Test Patient'!G17)*(ABS('Test Patient'!G17-$G17)&lt;VisitHrs/24))-1)+('Anita Klesch'!$B17=$F17)*($G17&lt;DayEnd)*($G17+VisitHrs/24&gt;DayStart)+('Anita Klesch'!$C17=$F17)*((($G17+VisitHrs/24&gt;DayEnd)+($G17&lt;DayStart))&gt;0)+('Test Patient 2'!$B17=$F17)*($G17&lt;DayEnd)*($G17+VisitHrs/24&gt;DayStart)+('Test Patient 2'!$C17=$F17)*((($G17+VisitHrs/24&gt;DayEnd)+($G17&lt;DayStart))&gt;0)&gt;=1,1,0),0)</f>
        <v>0</v>
      </c>
      <c r="M17" s="12" t="str">
        <f t="shared" si="2"/>
        <v/>
      </c>
      <c r="N17" s="12" t="str">
        <f t="shared" si="3"/>
        <v/>
      </c>
      <c r="O17" s="12" t="str">
        <f t="shared" si="4"/>
        <v/>
      </c>
    </row>
    <row r="18" spans="1:15" x14ac:dyDescent="0.2">
      <c r="A18" s="2">
        <f t="shared" si="5"/>
        <v>46224</v>
      </c>
      <c r="B18" s="3"/>
      <c r="C18" s="24"/>
      <c r="D18" s="19"/>
      <c r="E18" s="25"/>
      <c r="F18" s="19"/>
      <c r="G18" s="25"/>
      <c r="H18" s="12">
        <f t="shared" si="0"/>
        <v>0</v>
      </c>
      <c r="I18" s="12">
        <f t="shared" si="1"/>
        <v>0</v>
      </c>
      <c r="J18" s="12">
        <f>IF(AND($H18=1,$B18&lt;&gt;"",ISNUMBER($C18)),IF(((('Lucy Levene'!B18=$B18)*ISNUMBER('Lucy Levene'!C18)*(ABS('Lucy Levene'!C18-$C18)&lt;VisitHrs/24)+('Lucy Levene'!D18=$B18)*ISNUMBER('Lucy Levene'!E18)*(ABS('Lucy Levene'!E18-$C18)&lt;VisitHrs/24)+('Lucy Levene'!F18=$B18)*ISNUMBER('Lucy Levene'!G18)*(ABS('Lucy Levene'!G18-$C18)&lt;VisitHrs/24)+('Tom Bock'!B18=$B18)*ISNUMBER('Tom Bock'!C18)*(ABS('Tom Bock'!C18-$C18)&lt;VisitHrs/24)+('Tom Bock'!D18=$B18)*ISNUMBER('Tom Bock'!E18)*(ABS('Tom Bock'!E18-$C18)&lt;VisitHrs/24)+('Tom Bock'!F18=$B18)*ISNUMBER('Tom Bock'!G18)*(ABS('Tom Bock'!G18-$C18)&lt;VisitHrs/24)+(Jeremy!B18=$B18)*ISNUMBER(Jeremy!C18)*(ABS(Jeremy!C18-$C18)&lt;VisitHrs/24)+(Jeremy!D18=$B18)*ISNUMBER(Jeremy!E18)*(ABS(Jeremy!E18-$C18)&lt;VisitHrs/24)+(Jeremy!F18=$B18)*ISNUMBER(Jeremy!G18)*(ABS(Jeremy!G18-$C18)&lt;VisitHrs/24)+('Test Patient'!B18=$B18)*ISNUMBER('Test Patient'!C18)*(ABS('Test Patient'!C18-$C18)&lt;VisitHrs/24)+('Test Patient'!D18=$B18)*ISNUMBER('Test Patient'!E18)*(ABS('Test Patient'!E18-$C18)&lt;VisitHrs/24)+('Test Patient'!F18=$B18)*ISNUMBER('Test Patient'!G18)*(ABS('Test Patient'!G18-$C18)&lt;VisitHrs/24))-1)+('Anita Klesch'!$B18=$B18)*($C18&lt;DayEnd)*($C18+VisitHrs/24&gt;DayStart)+('Anita Klesch'!$C18=$B18)*((($C18+VisitHrs/24&gt;DayEnd)+($C18&lt;DayStart))&gt;0)+('Test Patient 2'!$B18=$B18)*($C18&lt;DayEnd)*($C18+VisitHrs/24&gt;DayStart)+('Test Patient 2'!$C18=$B18)*((($C18+VisitHrs/24&gt;DayEnd)+($C18&lt;DayStart))&gt;0)&gt;=1,1,0),0)</f>
        <v>0</v>
      </c>
      <c r="K18" s="12">
        <f>IF(AND($H18=1,$D18&lt;&gt;"",ISNUMBER($E18)),IF(((('Lucy Levene'!B18=$D18)*ISNUMBER('Lucy Levene'!C18)*(ABS('Lucy Levene'!C18-$E18)&lt;VisitHrs/24)+('Lucy Levene'!D18=$D18)*ISNUMBER('Lucy Levene'!E18)*(ABS('Lucy Levene'!E18-$E18)&lt;VisitHrs/24)+('Lucy Levene'!F18=$D18)*ISNUMBER('Lucy Levene'!G18)*(ABS('Lucy Levene'!G18-$E18)&lt;VisitHrs/24)+('Tom Bock'!B18=$D18)*ISNUMBER('Tom Bock'!C18)*(ABS('Tom Bock'!C18-$E18)&lt;VisitHrs/24)+('Tom Bock'!D18=$D18)*ISNUMBER('Tom Bock'!E18)*(ABS('Tom Bock'!E18-$E18)&lt;VisitHrs/24)+('Tom Bock'!F18=$D18)*ISNUMBER('Tom Bock'!G18)*(ABS('Tom Bock'!G18-$E18)&lt;VisitHrs/24)+(Jeremy!B18=$D18)*ISNUMBER(Jeremy!C18)*(ABS(Jeremy!C18-$E18)&lt;VisitHrs/24)+(Jeremy!D18=$D18)*ISNUMBER(Jeremy!E18)*(ABS(Jeremy!E18-$E18)&lt;VisitHrs/24)+(Jeremy!F18=$D18)*ISNUMBER(Jeremy!G18)*(ABS(Jeremy!G18-$E18)&lt;VisitHrs/24)+('Test Patient'!B18=$D18)*ISNUMBER('Test Patient'!C18)*(ABS('Test Patient'!C18-$E18)&lt;VisitHrs/24)+('Test Patient'!D18=$D18)*ISNUMBER('Test Patient'!E18)*(ABS('Test Patient'!E18-$E18)&lt;VisitHrs/24)+('Test Patient'!F18=$D18)*ISNUMBER('Test Patient'!G18)*(ABS('Test Patient'!G18-$E18)&lt;VisitHrs/24))-1)+('Anita Klesch'!$B18=$D18)*($E18&lt;DayEnd)*($E18+VisitHrs/24&gt;DayStart)+('Anita Klesch'!$C18=$D18)*((($E18+VisitHrs/24&gt;DayEnd)+($E18&lt;DayStart))&gt;0)+('Test Patient 2'!$B18=$D18)*($E18&lt;DayEnd)*($E18+VisitHrs/24&gt;DayStart)+('Test Patient 2'!$C18=$D18)*((($E18+VisitHrs/24&gt;DayEnd)+($E18&lt;DayStart))&gt;0)&gt;=1,1,0),0)</f>
        <v>0</v>
      </c>
      <c r="L18" s="12">
        <f>IF(AND($H18=1,$F18&lt;&gt;"",ISNUMBER($G18)),IF(((('Lucy Levene'!B18=$F18)*ISNUMBER('Lucy Levene'!C18)*(ABS('Lucy Levene'!C18-$G18)&lt;VisitHrs/24)+('Lucy Levene'!D18=$F18)*ISNUMBER('Lucy Levene'!E18)*(ABS('Lucy Levene'!E18-$G18)&lt;VisitHrs/24)+('Lucy Levene'!F18=$F18)*ISNUMBER('Lucy Levene'!G18)*(ABS('Lucy Levene'!G18-$G18)&lt;VisitHrs/24)+('Tom Bock'!B18=$F18)*ISNUMBER('Tom Bock'!C18)*(ABS('Tom Bock'!C18-$G18)&lt;VisitHrs/24)+('Tom Bock'!D18=$F18)*ISNUMBER('Tom Bock'!E18)*(ABS('Tom Bock'!E18-$G18)&lt;VisitHrs/24)+('Tom Bock'!F18=$F18)*ISNUMBER('Tom Bock'!G18)*(ABS('Tom Bock'!G18-$G18)&lt;VisitHrs/24)+(Jeremy!B18=$F18)*ISNUMBER(Jeremy!C18)*(ABS(Jeremy!C18-$G18)&lt;VisitHrs/24)+(Jeremy!D18=$F18)*ISNUMBER(Jeremy!E18)*(ABS(Jeremy!E18-$G18)&lt;VisitHrs/24)+(Jeremy!F18=$F18)*ISNUMBER(Jeremy!G18)*(ABS(Jeremy!G18-$G18)&lt;VisitHrs/24)+('Test Patient'!B18=$F18)*ISNUMBER('Test Patient'!C18)*(ABS('Test Patient'!C18-$G18)&lt;VisitHrs/24)+('Test Patient'!D18=$F18)*ISNUMBER('Test Patient'!E18)*(ABS('Test Patient'!E18-$G18)&lt;VisitHrs/24)+('Test Patient'!F18=$F18)*ISNUMBER('Test Patient'!G18)*(ABS('Test Patient'!G18-$G18)&lt;VisitHrs/24))-1)+('Anita Klesch'!$B18=$F18)*($G18&lt;DayEnd)*($G18+VisitHrs/24&gt;DayStart)+('Anita Klesch'!$C18=$F18)*((($G18+VisitHrs/24&gt;DayEnd)+($G18&lt;DayStart))&gt;0)+('Test Patient 2'!$B18=$F18)*($G18&lt;DayEnd)*($G18+VisitHrs/24&gt;DayStart)+('Test Patient 2'!$C18=$F18)*((($G18+VisitHrs/24&gt;DayEnd)+($G18&lt;DayStart))&gt;0)&gt;=1,1,0),0)</f>
        <v>0</v>
      </c>
      <c r="M18" s="12" t="str">
        <f t="shared" si="2"/>
        <v/>
      </c>
      <c r="N18" s="12" t="str">
        <f t="shared" si="3"/>
        <v/>
      </c>
      <c r="O18" s="12" t="str">
        <f t="shared" si="4"/>
        <v/>
      </c>
    </row>
    <row r="19" spans="1:15" x14ac:dyDescent="0.2">
      <c r="A19" s="2">
        <f t="shared" si="5"/>
        <v>46225</v>
      </c>
      <c r="B19" s="3"/>
      <c r="C19" s="24"/>
      <c r="D19" s="19"/>
      <c r="E19" s="25"/>
      <c r="F19" s="19"/>
      <c r="G19" s="25"/>
      <c r="H19" s="12">
        <f t="shared" si="0"/>
        <v>0</v>
      </c>
      <c r="I19" s="12">
        <f t="shared" si="1"/>
        <v>0</v>
      </c>
      <c r="J19" s="12">
        <f>IF(AND($H19=1,$B19&lt;&gt;"",ISNUMBER($C19)),IF(((('Lucy Levene'!B19=$B19)*ISNUMBER('Lucy Levene'!C19)*(ABS('Lucy Levene'!C19-$C19)&lt;VisitHrs/24)+('Lucy Levene'!D19=$B19)*ISNUMBER('Lucy Levene'!E19)*(ABS('Lucy Levene'!E19-$C19)&lt;VisitHrs/24)+('Lucy Levene'!F19=$B19)*ISNUMBER('Lucy Levene'!G19)*(ABS('Lucy Levene'!G19-$C19)&lt;VisitHrs/24)+('Tom Bock'!B19=$B19)*ISNUMBER('Tom Bock'!C19)*(ABS('Tom Bock'!C19-$C19)&lt;VisitHrs/24)+('Tom Bock'!D19=$B19)*ISNUMBER('Tom Bock'!E19)*(ABS('Tom Bock'!E19-$C19)&lt;VisitHrs/24)+('Tom Bock'!F19=$B19)*ISNUMBER('Tom Bock'!G19)*(ABS('Tom Bock'!G19-$C19)&lt;VisitHrs/24)+(Jeremy!B19=$B19)*ISNUMBER(Jeremy!C19)*(ABS(Jeremy!C19-$C19)&lt;VisitHrs/24)+(Jeremy!D19=$B19)*ISNUMBER(Jeremy!E19)*(ABS(Jeremy!E19-$C19)&lt;VisitHrs/24)+(Jeremy!F19=$B19)*ISNUMBER(Jeremy!G19)*(ABS(Jeremy!G19-$C19)&lt;VisitHrs/24)+('Test Patient'!B19=$B19)*ISNUMBER('Test Patient'!C19)*(ABS('Test Patient'!C19-$C19)&lt;VisitHrs/24)+('Test Patient'!D19=$B19)*ISNUMBER('Test Patient'!E19)*(ABS('Test Patient'!E19-$C19)&lt;VisitHrs/24)+('Test Patient'!F19=$B19)*ISNUMBER('Test Patient'!G19)*(ABS('Test Patient'!G19-$C19)&lt;VisitHrs/24))-1)+('Anita Klesch'!$B19=$B19)*($C19&lt;DayEnd)*($C19+VisitHrs/24&gt;DayStart)+('Anita Klesch'!$C19=$B19)*((($C19+VisitHrs/24&gt;DayEnd)+($C19&lt;DayStart))&gt;0)+('Test Patient 2'!$B19=$B19)*($C19&lt;DayEnd)*($C19+VisitHrs/24&gt;DayStart)+('Test Patient 2'!$C19=$B19)*((($C19+VisitHrs/24&gt;DayEnd)+($C19&lt;DayStart))&gt;0)&gt;=1,1,0),0)</f>
        <v>0</v>
      </c>
      <c r="K19" s="12">
        <f>IF(AND($H19=1,$D19&lt;&gt;"",ISNUMBER($E19)),IF(((('Lucy Levene'!B19=$D19)*ISNUMBER('Lucy Levene'!C19)*(ABS('Lucy Levene'!C19-$E19)&lt;VisitHrs/24)+('Lucy Levene'!D19=$D19)*ISNUMBER('Lucy Levene'!E19)*(ABS('Lucy Levene'!E19-$E19)&lt;VisitHrs/24)+('Lucy Levene'!F19=$D19)*ISNUMBER('Lucy Levene'!G19)*(ABS('Lucy Levene'!G19-$E19)&lt;VisitHrs/24)+('Tom Bock'!B19=$D19)*ISNUMBER('Tom Bock'!C19)*(ABS('Tom Bock'!C19-$E19)&lt;VisitHrs/24)+('Tom Bock'!D19=$D19)*ISNUMBER('Tom Bock'!E19)*(ABS('Tom Bock'!E19-$E19)&lt;VisitHrs/24)+('Tom Bock'!F19=$D19)*ISNUMBER('Tom Bock'!G19)*(ABS('Tom Bock'!G19-$E19)&lt;VisitHrs/24)+(Jeremy!B19=$D19)*ISNUMBER(Jeremy!C19)*(ABS(Jeremy!C19-$E19)&lt;VisitHrs/24)+(Jeremy!D19=$D19)*ISNUMBER(Jeremy!E19)*(ABS(Jeremy!E19-$E19)&lt;VisitHrs/24)+(Jeremy!F19=$D19)*ISNUMBER(Jeremy!G19)*(ABS(Jeremy!G19-$E19)&lt;VisitHrs/24)+('Test Patient'!B19=$D19)*ISNUMBER('Test Patient'!C19)*(ABS('Test Patient'!C19-$E19)&lt;VisitHrs/24)+('Test Patient'!D19=$D19)*ISNUMBER('Test Patient'!E19)*(ABS('Test Patient'!E19-$E19)&lt;VisitHrs/24)+('Test Patient'!F19=$D19)*ISNUMBER('Test Patient'!G19)*(ABS('Test Patient'!G19-$E19)&lt;VisitHrs/24))-1)+('Anita Klesch'!$B19=$D19)*($E19&lt;DayEnd)*($E19+VisitHrs/24&gt;DayStart)+('Anita Klesch'!$C19=$D19)*((($E19+VisitHrs/24&gt;DayEnd)+($E19&lt;DayStart))&gt;0)+('Test Patient 2'!$B19=$D19)*($E19&lt;DayEnd)*($E19+VisitHrs/24&gt;DayStart)+('Test Patient 2'!$C19=$D19)*((($E19+VisitHrs/24&gt;DayEnd)+($E19&lt;DayStart))&gt;0)&gt;=1,1,0),0)</f>
        <v>0</v>
      </c>
      <c r="L19" s="12">
        <f>IF(AND($H19=1,$F19&lt;&gt;"",ISNUMBER($G19)),IF(((('Lucy Levene'!B19=$F19)*ISNUMBER('Lucy Levene'!C19)*(ABS('Lucy Levene'!C19-$G19)&lt;VisitHrs/24)+('Lucy Levene'!D19=$F19)*ISNUMBER('Lucy Levene'!E19)*(ABS('Lucy Levene'!E19-$G19)&lt;VisitHrs/24)+('Lucy Levene'!F19=$F19)*ISNUMBER('Lucy Levene'!G19)*(ABS('Lucy Levene'!G19-$G19)&lt;VisitHrs/24)+('Tom Bock'!B19=$F19)*ISNUMBER('Tom Bock'!C19)*(ABS('Tom Bock'!C19-$G19)&lt;VisitHrs/24)+('Tom Bock'!D19=$F19)*ISNUMBER('Tom Bock'!E19)*(ABS('Tom Bock'!E19-$G19)&lt;VisitHrs/24)+('Tom Bock'!F19=$F19)*ISNUMBER('Tom Bock'!G19)*(ABS('Tom Bock'!G19-$G19)&lt;VisitHrs/24)+(Jeremy!B19=$F19)*ISNUMBER(Jeremy!C19)*(ABS(Jeremy!C19-$G19)&lt;VisitHrs/24)+(Jeremy!D19=$F19)*ISNUMBER(Jeremy!E19)*(ABS(Jeremy!E19-$G19)&lt;VisitHrs/24)+(Jeremy!F19=$F19)*ISNUMBER(Jeremy!G19)*(ABS(Jeremy!G19-$G19)&lt;VisitHrs/24)+('Test Patient'!B19=$F19)*ISNUMBER('Test Patient'!C19)*(ABS('Test Patient'!C19-$G19)&lt;VisitHrs/24)+('Test Patient'!D19=$F19)*ISNUMBER('Test Patient'!E19)*(ABS('Test Patient'!E19-$G19)&lt;VisitHrs/24)+('Test Patient'!F19=$F19)*ISNUMBER('Test Patient'!G19)*(ABS('Test Patient'!G19-$G19)&lt;VisitHrs/24))-1)+('Anita Klesch'!$B19=$F19)*($G19&lt;DayEnd)*($G19+VisitHrs/24&gt;DayStart)+('Anita Klesch'!$C19=$F19)*((($G19+VisitHrs/24&gt;DayEnd)+($G19&lt;DayStart))&gt;0)+('Test Patient 2'!$B19=$F19)*($G19&lt;DayEnd)*($G19+VisitHrs/24&gt;DayStart)+('Test Patient 2'!$C19=$F19)*((($G19+VisitHrs/24&gt;DayEnd)+($G19&lt;DayStart))&gt;0)&gt;=1,1,0),0)</f>
        <v>0</v>
      </c>
      <c r="M19" s="12" t="str">
        <f t="shared" si="2"/>
        <v/>
      </c>
      <c r="N19" s="12" t="str">
        <f t="shared" si="3"/>
        <v/>
      </c>
      <c r="O19" s="12" t="str">
        <f t="shared" si="4"/>
        <v/>
      </c>
    </row>
    <row r="20" spans="1:15" x14ac:dyDescent="0.2">
      <c r="A20" s="2">
        <f t="shared" si="5"/>
        <v>46226</v>
      </c>
      <c r="B20" s="3"/>
      <c r="C20" s="24"/>
      <c r="D20" s="19"/>
      <c r="E20" s="25"/>
      <c r="F20" s="19"/>
      <c r="G20" s="25"/>
      <c r="H20" s="12">
        <f t="shared" si="0"/>
        <v>0</v>
      </c>
      <c r="I20" s="12">
        <f t="shared" si="1"/>
        <v>0</v>
      </c>
      <c r="J20" s="12">
        <f>IF(AND($H20=1,$B20&lt;&gt;"",ISNUMBER($C20)),IF(((('Lucy Levene'!B20=$B20)*ISNUMBER('Lucy Levene'!C20)*(ABS('Lucy Levene'!C20-$C20)&lt;VisitHrs/24)+('Lucy Levene'!D20=$B20)*ISNUMBER('Lucy Levene'!E20)*(ABS('Lucy Levene'!E20-$C20)&lt;VisitHrs/24)+('Lucy Levene'!F20=$B20)*ISNUMBER('Lucy Levene'!G20)*(ABS('Lucy Levene'!G20-$C20)&lt;VisitHrs/24)+('Tom Bock'!B20=$B20)*ISNUMBER('Tom Bock'!C20)*(ABS('Tom Bock'!C20-$C20)&lt;VisitHrs/24)+('Tom Bock'!D20=$B20)*ISNUMBER('Tom Bock'!E20)*(ABS('Tom Bock'!E20-$C20)&lt;VisitHrs/24)+('Tom Bock'!F20=$B20)*ISNUMBER('Tom Bock'!G20)*(ABS('Tom Bock'!G20-$C20)&lt;VisitHrs/24)+(Jeremy!B20=$B20)*ISNUMBER(Jeremy!C20)*(ABS(Jeremy!C20-$C20)&lt;VisitHrs/24)+(Jeremy!D20=$B20)*ISNUMBER(Jeremy!E20)*(ABS(Jeremy!E20-$C20)&lt;VisitHrs/24)+(Jeremy!F20=$B20)*ISNUMBER(Jeremy!G20)*(ABS(Jeremy!G20-$C20)&lt;VisitHrs/24)+('Test Patient'!B20=$B20)*ISNUMBER('Test Patient'!C20)*(ABS('Test Patient'!C20-$C20)&lt;VisitHrs/24)+('Test Patient'!D20=$B20)*ISNUMBER('Test Patient'!E20)*(ABS('Test Patient'!E20-$C20)&lt;VisitHrs/24)+('Test Patient'!F20=$B20)*ISNUMBER('Test Patient'!G20)*(ABS('Test Patient'!G20-$C20)&lt;VisitHrs/24))-1)+('Anita Klesch'!$B20=$B20)*($C20&lt;DayEnd)*($C20+VisitHrs/24&gt;DayStart)+('Anita Klesch'!$C20=$B20)*((($C20+VisitHrs/24&gt;DayEnd)+($C20&lt;DayStart))&gt;0)+('Test Patient 2'!$B20=$B20)*($C20&lt;DayEnd)*($C20+VisitHrs/24&gt;DayStart)+('Test Patient 2'!$C20=$B20)*((($C20+VisitHrs/24&gt;DayEnd)+($C20&lt;DayStart))&gt;0)&gt;=1,1,0),0)</f>
        <v>0</v>
      </c>
      <c r="K20" s="12">
        <f>IF(AND($H20=1,$D20&lt;&gt;"",ISNUMBER($E20)),IF(((('Lucy Levene'!B20=$D20)*ISNUMBER('Lucy Levene'!C20)*(ABS('Lucy Levene'!C20-$E20)&lt;VisitHrs/24)+('Lucy Levene'!D20=$D20)*ISNUMBER('Lucy Levene'!E20)*(ABS('Lucy Levene'!E20-$E20)&lt;VisitHrs/24)+('Lucy Levene'!F20=$D20)*ISNUMBER('Lucy Levene'!G20)*(ABS('Lucy Levene'!G20-$E20)&lt;VisitHrs/24)+('Tom Bock'!B20=$D20)*ISNUMBER('Tom Bock'!C20)*(ABS('Tom Bock'!C20-$E20)&lt;VisitHrs/24)+('Tom Bock'!D20=$D20)*ISNUMBER('Tom Bock'!E20)*(ABS('Tom Bock'!E20-$E20)&lt;VisitHrs/24)+('Tom Bock'!F20=$D20)*ISNUMBER('Tom Bock'!G20)*(ABS('Tom Bock'!G20-$E20)&lt;VisitHrs/24)+(Jeremy!B20=$D20)*ISNUMBER(Jeremy!C20)*(ABS(Jeremy!C20-$E20)&lt;VisitHrs/24)+(Jeremy!D20=$D20)*ISNUMBER(Jeremy!E20)*(ABS(Jeremy!E20-$E20)&lt;VisitHrs/24)+(Jeremy!F20=$D20)*ISNUMBER(Jeremy!G20)*(ABS(Jeremy!G20-$E20)&lt;VisitHrs/24)+('Test Patient'!B20=$D20)*ISNUMBER('Test Patient'!C20)*(ABS('Test Patient'!C20-$E20)&lt;VisitHrs/24)+('Test Patient'!D20=$D20)*ISNUMBER('Test Patient'!E20)*(ABS('Test Patient'!E20-$E20)&lt;VisitHrs/24)+('Test Patient'!F20=$D20)*ISNUMBER('Test Patient'!G20)*(ABS('Test Patient'!G20-$E20)&lt;VisitHrs/24))-1)+('Anita Klesch'!$B20=$D20)*($E20&lt;DayEnd)*($E20+VisitHrs/24&gt;DayStart)+('Anita Klesch'!$C20=$D20)*((($E20+VisitHrs/24&gt;DayEnd)+($E20&lt;DayStart))&gt;0)+('Test Patient 2'!$B20=$D20)*($E20&lt;DayEnd)*($E20+VisitHrs/24&gt;DayStart)+('Test Patient 2'!$C20=$D20)*((($E20+VisitHrs/24&gt;DayEnd)+($E20&lt;DayStart))&gt;0)&gt;=1,1,0),0)</f>
        <v>0</v>
      </c>
      <c r="L20" s="12">
        <f>IF(AND($H20=1,$F20&lt;&gt;"",ISNUMBER($G20)),IF(((('Lucy Levene'!B20=$F20)*ISNUMBER('Lucy Levene'!C20)*(ABS('Lucy Levene'!C20-$G20)&lt;VisitHrs/24)+('Lucy Levene'!D20=$F20)*ISNUMBER('Lucy Levene'!E20)*(ABS('Lucy Levene'!E20-$G20)&lt;VisitHrs/24)+('Lucy Levene'!F20=$F20)*ISNUMBER('Lucy Levene'!G20)*(ABS('Lucy Levene'!G20-$G20)&lt;VisitHrs/24)+('Tom Bock'!B20=$F20)*ISNUMBER('Tom Bock'!C20)*(ABS('Tom Bock'!C20-$G20)&lt;VisitHrs/24)+('Tom Bock'!D20=$F20)*ISNUMBER('Tom Bock'!E20)*(ABS('Tom Bock'!E20-$G20)&lt;VisitHrs/24)+('Tom Bock'!F20=$F20)*ISNUMBER('Tom Bock'!G20)*(ABS('Tom Bock'!G20-$G20)&lt;VisitHrs/24)+(Jeremy!B20=$F20)*ISNUMBER(Jeremy!C20)*(ABS(Jeremy!C20-$G20)&lt;VisitHrs/24)+(Jeremy!D20=$F20)*ISNUMBER(Jeremy!E20)*(ABS(Jeremy!E20-$G20)&lt;VisitHrs/24)+(Jeremy!F20=$F20)*ISNUMBER(Jeremy!G20)*(ABS(Jeremy!G20-$G20)&lt;VisitHrs/24)+('Test Patient'!B20=$F20)*ISNUMBER('Test Patient'!C20)*(ABS('Test Patient'!C20-$G20)&lt;VisitHrs/24)+('Test Patient'!D20=$F20)*ISNUMBER('Test Patient'!E20)*(ABS('Test Patient'!E20-$G20)&lt;VisitHrs/24)+('Test Patient'!F20=$F20)*ISNUMBER('Test Patient'!G20)*(ABS('Test Patient'!G20-$G20)&lt;VisitHrs/24))-1)+('Anita Klesch'!$B20=$F20)*($G20&lt;DayEnd)*($G20+VisitHrs/24&gt;DayStart)+('Anita Klesch'!$C20=$F20)*((($G20+VisitHrs/24&gt;DayEnd)+($G20&lt;DayStart))&gt;0)+('Test Patient 2'!$B20=$F20)*($G20&lt;DayEnd)*($G20+VisitHrs/24&gt;DayStart)+('Test Patient 2'!$C20=$F20)*((($G20+VisitHrs/24&gt;DayEnd)+($G20&lt;DayStart))&gt;0)&gt;=1,1,0),0)</f>
        <v>0</v>
      </c>
      <c r="M20" s="12" t="str">
        <f t="shared" si="2"/>
        <v/>
      </c>
      <c r="N20" s="12" t="str">
        <f t="shared" si="3"/>
        <v/>
      </c>
      <c r="O20" s="12" t="str">
        <f t="shared" si="4"/>
        <v/>
      </c>
    </row>
    <row r="21" spans="1:15" x14ac:dyDescent="0.2">
      <c r="A21" s="2">
        <f t="shared" si="5"/>
        <v>46227</v>
      </c>
      <c r="B21" s="3"/>
      <c r="C21" s="24"/>
      <c r="D21" s="19"/>
      <c r="E21" s="25"/>
      <c r="F21" s="19"/>
      <c r="G21" s="25"/>
      <c r="H21" s="12">
        <f t="shared" si="0"/>
        <v>0</v>
      </c>
      <c r="I21" s="12">
        <f t="shared" si="1"/>
        <v>0</v>
      </c>
      <c r="J21" s="12">
        <f>IF(AND($H21=1,$B21&lt;&gt;"",ISNUMBER($C21)),IF(((('Lucy Levene'!B21=$B21)*ISNUMBER('Lucy Levene'!C21)*(ABS('Lucy Levene'!C21-$C21)&lt;VisitHrs/24)+('Lucy Levene'!D21=$B21)*ISNUMBER('Lucy Levene'!E21)*(ABS('Lucy Levene'!E21-$C21)&lt;VisitHrs/24)+('Lucy Levene'!F21=$B21)*ISNUMBER('Lucy Levene'!G21)*(ABS('Lucy Levene'!G21-$C21)&lt;VisitHrs/24)+('Tom Bock'!B21=$B21)*ISNUMBER('Tom Bock'!C21)*(ABS('Tom Bock'!C21-$C21)&lt;VisitHrs/24)+('Tom Bock'!D21=$B21)*ISNUMBER('Tom Bock'!E21)*(ABS('Tom Bock'!E21-$C21)&lt;VisitHrs/24)+('Tom Bock'!F21=$B21)*ISNUMBER('Tom Bock'!G21)*(ABS('Tom Bock'!G21-$C21)&lt;VisitHrs/24)+(Jeremy!B21=$B21)*ISNUMBER(Jeremy!C21)*(ABS(Jeremy!C21-$C21)&lt;VisitHrs/24)+(Jeremy!D21=$B21)*ISNUMBER(Jeremy!E21)*(ABS(Jeremy!E21-$C21)&lt;VisitHrs/24)+(Jeremy!F21=$B21)*ISNUMBER(Jeremy!G21)*(ABS(Jeremy!G21-$C21)&lt;VisitHrs/24)+('Test Patient'!B21=$B21)*ISNUMBER('Test Patient'!C21)*(ABS('Test Patient'!C21-$C21)&lt;VisitHrs/24)+('Test Patient'!D21=$B21)*ISNUMBER('Test Patient'!E21)*(ABS('Test Patient'!E21-$C21)&lt;VisitHrs/24)+('Test Patient'!F21=$B21)*ISNUMBER('Test Patient'!G21)*(ABS('Test Patient'!G21-$C21)&lt;VisitHrs/24))-1)+('Anita Klesch'!$B21=$B21)*($C21&lt;DayEnd)*($C21+VisitHrs/24&gt;DayStart)+('Anita Klesch'!$C21=$B21)*((($C21+VisitHrs/24&gt;DayEnd)+($C21&lt;DayStart))&gt;0)+('Test Patient 2'!$B21=$B21)*($C21&lt;DayEnd)*($C21+VisitHrs/24&gt;DayStart)+('Test Patient 2'!$C21=$B21)*((($C21+VisitHrs/24&gt;DayEnd)+($C21&lt;DayStart))&gt;0)&gt;=1,1,0),0)</f>
        <v>0</v>
      </c>
      <c r="K21" s="12">
        <f>IF(AND($H21=1,$D21&lt;&gt;"",ISNUMBER($E21)),IF(((('Lucy Levene'!B21=$D21)*ISNUMBER('Lucy Levene'!C21)*(ABS('Lucy Levene'!C21-$E21)&lt;VisitHrs/24)+('Lucy Levene'!D21=$D21)*ISNUMBER('Lucy Levene'!E21)*(ABS('Lucy Levene'!E21-$E21)&lt;VisitHrs/24)+('Lucy Levene'!F21=$D21)*ISNUMBER('Lucy Levene'!G21)*(ABS('Lucy Levene'!G21-$E21)&lt;VisitHrs/24)+('Tom Bock'!B21=$D21)*ISNUMBER('Tom Bock'!C21)*(ABS('Tom Bock'!C21-$E21)&lt;VisitHrs/24)+('Tom Bock'!D21=$D21)*ISNUMBER('Tom Bock'!E21)*(ABS('Tom Bock'!E21-$E21)&lt;VisitHrs/24)+('Tom Bock'!F21=$D21)*ISNUMBER('Tom Bock'!G21)*(ABS('Tom Bock'!G21-$E21)&lt;VisitHrs/24)+(Jeremy!B21=$D21)*ISNUMBER(Jeremy!C21)*(ABS(Jeremy!C21-$E21)&lt;VisitHrs/24)+(Jeremy!D21=$D21)*ISNUMBER(Jeremy!E21)*(ABS(Jeremy!E21-$E21)&lt;VisitHrs/24)+(Jeremy!F21=$D21)*ISNUMBER(Jeremy!G21)*(ABS(Jeremy!G21-$E21)&lt;VisitHrs/24)+('Test Patient'!B21=$D21)*ISNUMBER('Test Patient'!C21)*(ABS('Test Patient'!C21-$E21)&lt;VisitHrs/24)+('Test Patient'!D21=$D21)*ISNUMBER('Test Patient'!E21)*(ABS('Test Patient'!E21-$E21)&lt;VisitHrs/24)+('Test Patient'!F21=$D21)*ISNUMBER('Test Patient'!G21)*(ABS('Test Patient'!G21-$E21)&lt;VisitHrs/24))-1)+('Anita Klesch'!$B21=$D21)*($E21&lt;DayEnd)*($E21+VisitHrs/24&gt;DayStart)+('Anita Klesch'!$C21=$D21)*((($E21+VisitHrs/24&gt;DayEnd)+($E21&lt;DayStart))&gt;0)+('Test Patient 2'!$B21=$D21)*($E21&lt;DayEnd)*($E21+VisitHrs/24&gt;DayStart)+('Test Patient 2'!$C21=$D21)*((($E21+VisitHrs/24&gt;DayEnd)+($E21&lt;DayStart))&gt;0)&gt;=1,1,0),0)</f>
        <v>0</v>
      </c>
      <c r="L21" s="12">
        <f>IF(AND($H21=1,$F21&lt;&gt;"",ISNUMBER($G21)),IF(((('Lucy Levene'!B21=$F21)*ISNUMBER('Lucy Levene'!C21)*(ABS('Lucy Levene'!C21-$G21)&lt;VisitHrs/24)+('Lucy Levene'!D21=$F21)*ISNUMBER('Lucy Levene'!E21)*(ABS('Lucy Levene'!E21-$G21)&lt;VisitHrs/24)+('Lucy Levene'!F21=$F21)*ISNUMBER('Lucy Levene'!G21)*(ABS('Lucy Levene'!G21-$G21)&lt;VisitHrs/24)+('Tom Bock'!B21=$F21)*ISNUMBER('Tom Bock'!C21)*(ABS('Tom Bock'!C21-$G21)&lt;VisitHrs/24)+('Tom Bock'!D21=$F21)*ISNUMBER('Tom Bock'!E21)*(ABS('Tom Bock'!E21-$G21)&lt;VisitHrs/24)+('Tom Bock'!F21=$F21)*ISNUMBER('Tom Bock'!G21)*(ABS('Tom Bock'!G21-$G21)&lt;VisitHrs/24)+(Jeremy!B21=$F21)*ISNUMBER(Jeremy!C21)*(ABS(Jeremy!C21-$G21)&lt;VisitHrs/24)+(Jeremy!D21=$F21)*ISNUMBER(Jeremy!E21)*(ABS(Jeremy!E21-$G21)&lt;VisitHrs/24)+(Jeremy!F21=$F21)*ISNUMBER(Jeremy!G21)*(ABS(Jeremy!G21-$G21)&lt;VisitHrs/24)+('Test Patient'!B21=$F21)*ISNUMBER('Test Patient'!C21)*(ABS('Test Patient'!C21-$G21)&lt;VisitHrs/24)+('Test Patient'!D21=$F21)*ISNUMBER('Test Patient'!E21)*(ABS('Test Patient'!E21-$G21)&lt;VisitHrs/24)+('Test Patient'!F21=$F21)*ISNUMBER('Test Patient'!G21)*(ABS('Test Patient'!G21-$G21)&lt;VisitHrs/24))-1)+('Anita Klesch'!$B21=$F21)*($G21&lt;DayEnd)*($G21+VisitHrs/24&gt;DayStart)+('Anita Klesch'!$C21=$F21)*((($G21+VisitHrs/24&gt;DayEnd)+($G21&lt;DayStart))&gt;0)+('Test Patient 2'!$B21=$F21)*($G21&lt;DayEnd)*($G21+VisitHrs/24&gt;DayStart)+('Test Patient 2'!$C21=$F21)*((($G21+VisitHrs/24&gt;DayEnd)+($G21&lt;DayStart))&gt;0)&gt;=1,1,0),0)</f>
        <v>0</v>
      </c>
      <c r="M21" s="12" t="str">
        <f t="shared" si="2"/>
        <v/>
      </c>
      <c r="N21" s="12" t="str">
        <f t="shared" si="3"/>
        <v/>
      </c>
      <c r="O21" s="12" t="str">
        <f t="shared" si="4"/>
        <v/>
      </c>
    </row>
    <row r="22" spans="1:15" x14ac:dyDescent="0.2">
      <c r="A22" s="2">
        <f t="shared" si="5"/>
        <v>46228</v>
      </c>
      <c r="B22" s="3"/>
      <c r="C22" s="24"/>
      <c r="D22" s="19"/>
      <c r="E22" s="25"/>
      <c r="F22" s="19"/>
      <c r="G22" s="25"/>
      <c r="H22" s="12">
        <f t="shared" si="0"/>
        <v>0</v>
      </c>
      <c r="I22" s="12">
        <f t="shared" si="1"/>
        <v>0</v>
      </c>
      <c r="J22" s="12">
        <f>IF(AND($H22=1,$B22&lt;&gt;"",ISNUMBER($C22)),IF(((('Lucy Levene'!B22=$B22)*ISNUMBER('Lucy Levene'!C22)*(ABS('Lucy Levene'!C22-$C22)&lt;VisitHrs/24)+('Lucy Levene'!D22=$B22)*ISNUMBER('Lucy Levene'!E22)*(ABS('Lucy Levene'!E22-$C22)&lt;VisitHrs/24)+('Lucy Levene'!F22=$B22)*ISNUMBER('Lucy Levene'!G22)*(ABS('Lucy Levene'!G22-$C22)&lt;VisitHrs/24)+('Tom Bock'!B22=$B22)*ISNUMBER('Tom Bock'!C22)*(ABS('Tom Bock'!C22-$C22)&lt;VisitHrs/24)+('Tom Bock'!D22=$B22)*ISNUMBER('Tom Bock'!E22)*(ABS('Tom Bock'!E22-$C22)&lt;VisitHrs/24)+('Tom Bock'!F22=$B22)*ISNUMBER('Tom Bock'!G22)*(ABS('Tom Bock'!G22-$C22)&lt;VisitHrs/24)+(Jeremy!B22=$B22)*ISNUMBER(Jeremy!C22)*(ABS(Jeremy!C22-$C22)&lt;VisitHrs/24)+(Jeremy!D22=$B22)*ISNUMBER(Jeremy!E22)*(ABS(Jeremy!E22-$C22)&lt;VisitHrs/24)+(Jeremy!F22=$B22)*ISNUMBER(Jeremy!G22)*(ABS(Jeremy!G22-$C22)&lt;VisitHrs/24)+('Test Patient'!B22=$B22)*ISNUMBER('Test Patient'!C22)*(ABS('Test Patient'!C22-$C22)&lt;VisitHrs/24)+('Test Patient'!D22=$B22)*ISNUMBER('Test Patient'!E22)*(ABS('Test Patient'!E22-$C22)&lt;VisitHrs/24)+('Test Patient'!F22=$B22)*ISNUMBER('Test Patient'!G22)*(ABS('Test Patient'!G22-$C22)&lt;VisitHrs/24))-1)+('Anita Klesch'!$B22=$B22)*($C22&lt;DayEnd)*($C22+VisitHrs/24&gt;DayStart)+('Anita Klesch'!$C22=$B22)*((($C22+VisitHrs/24&gt;DayEnd)+($C22&lt;DayStart))&gt;0)+('Test Patient 2'!$B22=$B22)*($C22&lt;DayEnd)*($C22+VisitHrs/24&gt;DayStart)+('Test Patient 2'!$C22=$B22)*((($C22+VisitHrs/24&gt;DayEnd)+($C22&lt;DayStart))&gt;0)&gt;=1,1,0),0)</f>
        <v>0</v>
      </c>
      <c r="K22" s="12">
        <f>IF(AND($H22=1,$D22&lt;&gt;"",ISNUMBER($E22)),IF(((('Lucy Levene'!B22=$D22)*ISNUMBER('Lucy Levene'!C22)*(ABS('Lucy Levene'!C22-$E22)&lt;VisitHrs/24)+('Lucy Levene'!D22=$D22)*ISNUMBER('Lucy Levene'!E22)*(ABS('Lucy Levene'!E22-$E22)&lt;VisitHrs/24)+('Lucy Levene'!F22=$D22)*ISNUMBER('Lucy Levene'!G22)*(ABS('Lucy Levene'!G22-$E22)&lt;VisitHrs/24)+('Tom Bock'!B22=$D22)*ISNUMBER('Tom Bock'!C22)*(ABS('Tom Bock'!C22-$E22)&lt;VisitHrs/24)+('Tom Bock'!D22=$D22)*ISNUMBER('Tom Bock'!E22)*(ABS('Tom Bock'!E22-$E22)&lt;VisitHrs/24)+('Tom Bock'!F22=$D22)*ISNUMBER('Tom Bock'!G22)*(ABS('Tom Bock'!G22-$E22)&lt;VisitHrs/24)+(Jeremy!B22=$D22)*ISNUMBER(Jeremy!C22)*(ABS(Jeremy!C22-$E22)&lt;VisitHrs/24)+(Jeremy!D22=$D22)*ISNUMBER(Jeremy!E22)*(ABS(Jeremy!E22-$E22)&lt;VisitHrs/24)+(Jeremy!F22=$D22)*ISNUMBER(Jeremy!G22)*(ABS(Jeremy!G22-$E22)&lt;VisitHrs/24)+('Test Patient'!B22=$D22)*ISNUMBER('Test Patient'!C22)*(ABS('Test Patient'!C22-$E22)&lt;VisitHrs/24)+('Test Patient'!D22=$D22)*ISNUMBER('Test Patient'!E22)*(ABS('Test Patient'!E22-$E22)&lt;VisitHrs/24)+('Test Patient'!F22=$D22)*ISNUMBER('Test Patient'!G22)*(ABS('Test Patient'!G22-$E22)&lt;VisitHrs/24))-1)+('Anita Klesch'!$B22=$D22)*($E22&lt;DayEnd)*($E22+VisitHrs/24&gt;DayStart)+('Anita Klesch'!$C22=$D22)*((($E22+VisitHrs/24&gt;DayEnd)+($E22&lt;DayStart))&gt;0)+('Test Patient 2'!$B22=$D22)*($E22&lt;DayEnd)*($E22+VisitHrs/24&gt;DayStart)+('Test Patient 2'!$C22=$D22)*((($E22+VisitHrs/24&gt;DayEnd)+($E22&lt;DayStart))&gt;0)&gt;=1,1,0),0)</f>
        <v>0</v>
      </c>
      <c r="L22" s="12">
        <f>IF(AND($H22=1,$F22&lt;&gt;"",ISNUMBER($G22)),IF(((('Lucy Levene'!B22=$F22)*ISNUMBER('Lucy Levene'!C22)*(ABS('Lucy Levene'!C22-$G22)&lt;VisitHrs/24)+('Lucy Levene'!D22=$F22)*ISNUMBER('Lucy Levene'!E22)*(ABS('Lucy Levene'!E22-$G22)&lt;VisitHrs/24)+('Lucy Levene'!F22=$F22)*ISNUMBER('Lucy Levene'!G22)*(ABS('Lucy Levene'!G22-$G22)&lt;VisitHrs/24)+('Tom Bock'!B22=$F22)*ISNUMBER('Tom Bock'!C22)*(ABS('Tom Bock'!C22-$G22)&lt;VisitHrs/24)+('Tom Bock'!D22=$F22)*ISNUMBER('Tom Bock'!E22)*(ABS('Tom Bock'!E22-$G22)&lt;VisitHrs/24)+('Tom Bock'!F22=$F22)*ISNUMBER('Tom Bock'!G22)*(ABS('Tom Bock'!G22-$G22)&lt;VisitHrs/24)+(Jeremy!B22=$F22)*ISNUMBER(Jeremy!C22)*(ABS(Jeremy!C22-$G22)&lt;VisitHrs/24)+(Jeremy!D22=$F22)*ISNUMBER(Jeremy!E22)*(ABS(Jeremy!E22-$G22)&lt;VisitHrs/24)+(Jeremy!F22=$F22)*ISNUMBER(Jeremy!G22)*(ABS(Jeremy!G22-$G22)&lt;VisitHrs/24)+('Test Patient'!B22=$F22)*ISNUMBER('Test Patient'!C22)*(ABS('Test Patient'!C22-$G22)&lt;VisitHrs/24)+('Test Patient'!D22=$F22)*ISNUMBER('Test Patient'!E22)*(ABS('Test Patient'!E22-$G22)&lt;VisitHrs/24)+('Test Patient'!F22=$F22)*ISNUMBER('Test Patient'!G22)*(ABS('Test Patient'!G22-$G22)&lt;VisitHrs/24))-1)+('Anita Klesch'!$B22=$F22)*($G22&lt;DayEnd)*($G22+VisitHrs/24&gt;DayStart)+('Anita Klesch'!$C22=$F22)*((($G22+VisitHrs/24&gt;DayEnd)+($G22&lt;DayStart))&gt;0)+('Test Patient 2'!$B22=$F22)*($G22&lt;DayEnd)*($G22+VisitHrs/24&gt;DayStart)+('Test Patient 2'!$C22=$F22)*((($G22+VisitHrs/24&gt;DayEnd)+($G22&lt;DayStart))&gt;0)&gt;=1,1,0),0)</f>
        <v>0</v>
      </c>
      <c r="M22" s="12" t="str">
        <f t="shared" si="2"/>
        <v/>
      </c>
      <c r="N22" s="12" t="str">
        <f t="shared" si="3"/>
        <v/>
      </c>
      <c r="O22" s="12" t="str">
        <f t="shared" si="4"/>
        <v/>
      </c>
    </row>
    <row r="23" spans="1:15" x14ac:dyDescent="0.2">
      <c r="A23" s="2">
        <f t="shared" si="5"/>
        <v>46229</v>
      </c>
      <c r="B23" s="3"/>
      <c r="C23" s="24"/>
      <c r="D23" s="19"/>
      <c r="E23" s="25"/>
      <c r="F23" s="19"/>
      <c r="G23" s="25"/>
      <c r="H23" s="12">
        <f t="shared" si="0"/>
        <v>0</v>
      </c>
      <c r="I23" s="12">
        <f t="shared" si="1"/>
        <v>0</v>
      </c>
      <c r="J23" s="12">
        <f>IF(AND($H23=1,$B23&lt;&gt;"",ISNUMBER($C23)),IF(((('Lucy Levene'!B23=$B23)*ISNUMBER('Lucy Levene'!C23)*(ABS('Lucy Levene'!C23-$C23)&lt;VisitHrs/24)+('Lucy Levene'!D23=$B23)*ISNUMBER('Lucy Levene'!E23)*(ABS('Lucy Levene'!E23-$C23)&lt;VisitHrs/24)+('Lucy Levene'!F23=$B23)*ISNUMBER('Lucy Levene'!G23)*(ABS('Lucy Levene'!G23-$C23)&lt;VisitHrs/24)+('Tom Bock'!B23=$B23)*ISNUMBER('Tom Bock'!C23)*(ABS('Tom Bock'!C23-$C23)&lt;VisitHrs/24)+('Tom Bock'!D23=$B23)*ISNUMBER('Tom Bock'!E23)*(ABS('Tom Bock'!E23-$C23)&lt;VisitHrs/24)+('Tom Bock'!F23=$B23)*ISNUMBER('Tom Bock'!G23)*(ABS('Tom Bock'!G23-$C23)&lt;VisitHrs/24)+(Jeremy!B23=$B23)*ISNUMBER(Jeremy!C23)*(ABS(Jeremy!C23-$C23)&lt;VisitHrs/24)+(Jeremy!D23=$B23)*ISNUMBER(Jeremy!E23)*(ABS(Jeremy!E23-$C23)&lt;VisitHrs/24)+(Jeremy!F23=$B23)*ISNUMBER(Jeremy!G23)*(ABS(Jeremy!G23-$C23)&lt;VisitHrs/24)+('Test Patient'!B23=$B23)*ISNUMBER('Test Patient'!C23)*(ABS('Test Patient'!C23-$C23)&lt;VisitHrs/24)+('Test Patient'!D23=$B23)*ISNUMBER('Test Patient'!E23)*(ABS('Test Patient'!E23-$C23)&lt;VisitHrs/24)+('Test Patient'!F23=$B23)*ISNUMBER('Test Patient'!G23)*(ABS('Test Patient'!G23-$C23)&lt;VisitHrs/24))-1)+('Anita Klesch'!$B23=$B23)*($C23&lt;DayEnd)*($C23+VisitHrs/24&gt;DayStart)+('Anita Klesch'!$C23=$B23)*((($C23+VisitHrs/24&gt;DayEnd)+($C23&lt;DayStart))&gt;0)+('Test Patient 2'!$B23=$B23)*($C23&lt;DayEnd)*($C23+VisitHrs/24&gt;DayStart)+('Test Patient 2'!$C23=$B23)*((($C23+VisitHrs/24&gt;DayEnd)+($C23&lt;DayStart))&gt;0)&gt;=1,1,0),0)</f>
        <v>0</v>
      </c>
      <c r="K23" s="12">
        <f>IF(AND($H23=1,$D23&lt;&gt;"",ISNUMBER($E23)),IF(((('Lucy Levene'!B23=$D23)*ISNUMBER('Lucy Levene'!C23)*(ABS('Lucy Levene'!C23-$E23)&lt;VisitHrs/24)+('Lucy Levene'!D23=$D23)*ISNUMBER('Lucy Levene'!E23)*(ABS('Lucy Levene'!E23-$E23)&lt;VisitHrs/24)+('Lucy Levene'!F23=$D23)*ISNUMBER('Lucy Levene'!G23)*(ABS('Lucy Levene'!G23-$E23)&lt;VisitHrs/24)+('Tom Bock'!B23=$D23)*ISNUMBER('Tom Bock'!C23)*(ABS('Tom Bock'!C23-$E23)&lt;VisitHrs/24)+('Tom Bock'!D23=$D23)*ISNUMBER('Tom Bock'!E23)*(ABS('Tom Bock'!E23-$E23)&lt;VisitHrs/24)+('Tom Bock'!F23=$D23)*ISNUMBER('Tom Bock'!G23)*(ABS('Tom Bock'!G23-$E23)&lt;VisitHrs/24)+(Jeremy!B23=$D23)*ISNUMBER(Jeremy!C23)*(ABS(Jeremy!C23-$E23)&lt;VisitHrs/24)+(Jeremy!D23=$D23)*ISNUMBER(Jeremy!E23)*(ABS(Jeremy!E23-$E23)&lt;VisitHrs/24)+(Jeremy!F23=$D23)*ISNUMBER(Jeremy!G23)*(ABS(Jeremy!G23-$E23)&lt;VisitHrs/24)+('Test Patient'!B23=$D23)*ISNUMBER('Test Patient'!C23)*(ABS('Test Patient'!C23-$E23)&lt;VisitHrs/24)+('Test Patient'!D23=$D23)*ISNUMBER('Test Patient'!E23)*(ABS('Test Patient'!E23-$E23)&lt;VisitHrs/24)+('Test Patient'!F23=$D23)*ISNUMBER('Test Patient'!G23)*(ABS('Test Patient'!G23-$E23)&lt;VisitHrs/24))-1)+('Anita Klesch'!$B23=$D23)*($E23&lt;DayEnd)*($E23+VisitHrs/24&gt;DayStart)+('Anita Klesch'!$C23=$D23)*((($E23+VisitHrs/24&gt;DayEnd)+($E23&lt;DayStart))&gt;0)+('Test Patient 2'!$B23=$D23)*($E23&lt;DayEnd)*($E23+VisitHrs/24&gt;DayStart)+('Test Patient 2'!$C23=$D23)*((($E23+VisitHrs/24&gt;DayEnd)+($E23&lt;DayStart))&gt;0)&gt;=1,1,0),0)</f>
        <v>0</v>
      </c>
      <c r="L23" s="12">
        <f>IF(AND($H23=1,$F23&lt;&gt;"",ISNUMBER($G23)),IF(((('Lucy Levene'!B23=$F23)*ISNUMBER('Lucy Levene'!C23)*(ABS('Lucy Levene'!C23-$G23)&lt;VisitHrs/24)+('Lucy Levene'!D23=$F23)*ISNUMBER('Lucy Levene'!E23)*(ABS('Lucy Levene'!E23-$G23)&lt;VisitHrs/24)+('Lucy Levene'!F23=$F23)*ISNUMBER('Lucy Levene'!G23)*(ABS('Lucy Levene'!G23-$G23)&lt;VisitHrs/24)+('Tom Bock'!B23=$F23)*ISNUMBER('Tom Bock'!C23)*(ABS('Tom Bock'!C23-$G23)&lt;VisitHrs/24)+('Tom Bock'!D23=$F23)*ISNUMBER('Tom Bock'!E23)*(ABS('Tom Bock'!E23-$G23)&lt;VisitHrs/24)+('Tom Bock'!F23=$F23)*ISNUMBER('Tom Bock'!G23)*(ABS('Tom Bock'!G23-$G23)&lt;VisitHrs/24)+(Jeremy!B23=$F23)*ISNUMBER(Jeremy!C23)*(ABS(Jeremy!C23-$G23)&lt;VisitHrs/24)+(Jeremy!D23=$F23)*ISNUMBER(Jeremy!E23)*(ABS(Jeremy!E23-$G23)&lt;VisitHrs/24)+(Jeremy!F23=$F23)*ISNUMBER(Jeremy!G23)*(ABS(Jeremy!G23-$G23)&lt;VisitHrs/24)+('Test Patient'!B23=$F23)*ISNUMBER('Test Patient'!C23)*(ABS('Test Patient'!C23-$G23)&lt;VisitHrs/24)+('Test Patient'!D23=$F23)*ISNUMBER('Test Patient'!E23)*(ABS('Test Patient'!E23-$G23)&lt;VisitHrs/24)+('Test Patient'!F23=$F23)*ISNUMBER('Test Patient'!G23)*(ABS('Test Patient'!G23-$G23)&lt;VisitHrs/24))-1)+('Anita Klesch'!$B23=$F23)*($G23&lt;DayEnd)*($G23+VisitHrs/24&gt;DayStart)+('Anita Klesch'!$C23=$F23)*((($G23+VisitHrs/24&gt;DayEnd)+($G23&lt;DayStart))&gt;0)+('Test Patient 2'!$B23=$F23)*($G23&lt;DayEnd)*($G23+VisitHrs/24&gt;DayStart)+('Test Patient 2'!$C23=$F23)*((($G23+VisitHrs/24&gt;DayEnd)+($G23&lt;DayStart))&gt;0)&gt;=1,1,0),0)</f>
        <v>0</v>
      </c>
      <c r="M23" s="12" t="str">
        <f t="shared" si="2"/>
        <v/>
      </c>
      <c r="N23" s="12" t="str">
        <f t="shared" si="3"/>
        <v/>
      </c>
      <c r="O23" s="12" t="str">
        <f t="shared" si="4"/>
        <v/>
      </c>
    </row>
    <row r="24" spans="1:15" x14ac:dyDescent="0.2">
      <c r="A24" s="2">
        <f t="shared" si="5"/>
        <v>46230</v>
      </c>
      <c r="B24" s="3"/>
      <c r="C24" s="24"/>
      <c r="D24" s="19"/>
      <c r="E24" s="25"/>
      <c r="F24" s="19"/>
      <c r="G24" s="25"/>
      <c r="H24" s="12">
        <f t="shared" si="0"/>
        <v>0</v>
      </c>
      <c r="I24" s="12">
        <f t="shared" si="1"/>
        <v>0</v>
      </c>
      <c r="J24" s="12">
        <f>IF(AND($H24=1,$B24&lt;&gt;"",ISNUMBER($C24)),IF(((('Lucy Levene'!B24=$B24)*ISNUMBER('Lucy Levene'!C24)*(ABS('Lucy Levene'!C24-$C24)&lt;VisitHrs/24)+('Lucy Levene'!D24=$B24)*ISNUMBER('Lucy Levene'!E24)*(ABS('Lucy Levene'!E24-$C24)&lt;VisitHrs/24)+('Lucy Levene'!F24=$B24)*ISNUMBER('Lucy Levene'!G24)*(ABS('Lucy Levene'!G24-$C24)&lt;VisitHrs/24)+('Tom Bock'!B24=$B24)*ISNUMBER('Tom Bock'!C24)*(ABS('Tom Bock'!C24-$C24)&lt;VisitHrs/24)+('Tom Bock'!D24=$B24)*ISNUMBER('Tom Bock'!E24)*(ABS('Tom Bock'!E24-$C24)&lt;VisitHrs/24)+('Tom Bock'!F24=$B24)*ISNUMBER('Tom Bock'!G24)*(ABS('Tom Bock'!G24-$C24)&lt;VisitHrs/24)+(Jeremy!B24=$B24)*ISNUMBER(Jeremy!C24)*(ABS(Jeremy!C24-$C24)&lt;VisitHrs/24)+(Jeremy!D24=$B24)*ISNUMBER(Jeremy!E24)*(ABS(Jeremy!E24-$C24)&lt;VisitHrs/24)+(Jeremy!F24=$B24)*ISNUMBER(Jeremy!G24)*(ABS(Jeremy!G24-$C24)&lt;VisitHrs/24)+('Test Patient'!B24=$B24)*ISNUMBER('Test Patient'!C24)*(ABS('Test Patient'!C24-$C24)&lt;VisitHrs/24)+('Test Patient'!D24=$B24)*ISNUMBER('Test Patient'!E24)*(ABS('Test Patient'!E24-$C24)&lt;VisitHrs/24)+('Test Patient'!F24=$B24)*ISNUMBER('Test Patient'!G24)*(ABS('Test Patient'!G24-$C24)&lt;VisitHrs/24))-1)+('Anita Klesch'!$B24=$B24)*($C24&lt;DayEnd)*($C24+VisitHrs/24&gt;DayStart)+('Anita Klesch'!$C24=$B24)*((($C24+VisitHrs/24&gt;DayEnd)+($C24&lt;DayStart))&gt;0)+('Test Patient 2'!$B24=$B24)*($C24&lt;DayEnd)*($C24+VisitHrs/24&gt;DayStart)+('Test Patient 2'!$C24=$B24)*((($C24+VisitHrs/24&gt;DayEnd)+($C24&lt;DayStart))&gt;0)&gt;=1,1,0),0)</f>
        <v>0</v>
      </c>
      <c r="K24" s="12">
        <f>IF(AND($H24=1,$D24&lt;&gt;"",ISNUMBER($E24)),IF(((('Lucy Levene'!B24=$D24)*ISNUMBER('Lucy Levene'!C24)*(ABS('Lucy Levene'!C24-$E24)&lt;VisitHrs/24)+('Lucy Levene'!D24=$D24)*ISNUMBER('Lucy Levene'!E24)*(ABS('Lucy Levene'!E24-$E24)&lt;VisitHrs/24)+('Lucy Levene'!F24=$D24)*ISNUMBER('Lucy Levene'!G24)*(ABS('Lucy Levene'!G24-$E24)&lt;VisitHrs/24)+('Tom Bock'!B24=$D24)*ISNUMBER('Tom Bock'!C24)*(ABS('Tom Bock'!C24-$E24)&lt;VisitHrs/24)+('Tom Bock'!D24=$D24)*ISNUMBER('Tom Bock'!E24)*(ABS('Tom Bock'!E24-$E24)&lt;VisitHrs/24)+('Tom Bock'!F24=$D24)*ISNUMBER('Tom Bock'!G24)*(ABS('Tom Bock'!G24-$E24)&lt;VisitHrs/24)+(Jeremy!B24=$D24)*ISNUMBER(Jeremy!C24)*(ABS(Jeremy!C24-$E24)&lt;VisitHrs/24)+(Jeremy!D24=$D24)*ISNUMBER(Jeremy!E24)*(ABS(Jeremy!E24-$E24)&lt;VisitHrs/24)+(Jeremy!F24=$D24)*ISNUMBER(Jeremy!G24)*(ABS(Jeremy!G24-$E24)&lt;VisitHrs/24)+('Test Patient'!B24=$D24)*ISNUMBER('Test Patient'!C24)*(ABS('Test Patient'!C24-$E24)&lt;VisitHrs/24)+('Test Patient'!D24=$D24)*ISNUMBER('Test Patient'!E24)*(ABS('Test Patient'!E24-$E24)&lt;VisitHrs/24)+('Test Patient'!F24=$D24)*ISNUMBER('Test Patient'!G24)*(ABS('Test Patient'!G24-$E24)&lt;VisitHrs/24))-1)+('Anita Klesch'!$B24=$D24)*($E24&lt;DayEnd)*($E24+VisitHrs/24&gt;DayStart)+('Anita Klesch'!$C24=$D24)*((($E24+VisitHrs/24&gt;DayEnd)+($E24&lt;DayStart))&gt;0)+('Test Patient 2'!$B24=$D24)*($E24&lt;DayEnd)*($E24+VisitHrs/24&gt;DayStart)+('Test Patient 2'!$C24=$D24)*((($E24+VisitHrs/24&gt;DayEnd)+($E24&lt;DayStart))&gt;0)&gt;=1,1,0),0)</f>
        <v>0</v>
      </c>
      <c r="L24" s="12">
        <f>IF(AND($H24=1,$F24&lt;&gt;"",ISNUMBER($G24)),IF(((('Lucy Levene'!B24=$F24)*ISNUMBER('Lucy Levene'!C24)*(ABS('Lucy Levene'!C24-$G24)&lt;VisitHrs/24)+('Lucy Levene'!D24=$F24)*ISNUMBER('Lucy Levene'!E24)*(ABS('Lucy Levene'!E24-$G24)&lt;VisitHrs/24)+('Lucy Levene'!F24=$F24)*ISNUMBER('Lucy Levene'!G24)*(ABS('Lucy Levene'!G24-$G24)&lt;VisitHrs/24)+('Tom Bock'!B24=$F24)*ISNUMBER('Tom Bock'!C24)*(ABS('Tom Bock'!C24-$G24)&lt;VisitHrs/24)+('Tom Bock'!D24=$F24)*ISNUMBER('Tom Bock'!E24)*(ABS('Tom Bock'!E24-$G24)&lt;VisitHrs/24)+('Tom Bock'!F24=$F24)*ISNUMBER('Tom Bock'!G24)*(ABS('Tom Bock'!G24-$G24)&lt;VisitHrs/24)+(Jeremy!B24=$F24)*ISNUMBER(Jeremy!C24)*(ABS(Jeremy!C24-$G24)&lt;VisitHrs/24)+(Jeremy!D24=$F24)*ISNUMBER(Jeremy!E24)*(ABS(Jeremy!E24-$G24)&lt;VisitHrs/24)+(Jeremy!F24=$F24)*ISNUMBER(Jeremy!G24)*(ABS(Jeremy!G24-$G24)&lt;VisitHrs/24)+('Test Patient'!B24=$F24)*ISNUMBER('Test Patient'!C24)*(ABS('Test Patient'!C24-$G24)&lt;VisitHrs/24)+('Test Patient'!D24=$F24)*ISNUMBER('Test Patient'!E24)*(ABS('Test Patient'!E24-$G24)&lt;VisitHrs/24)+('Test Patient'!F24=$F24)*ISNUMBER('Test Patient'!G24)*(ABS('Test Patient'!G24-$G24)&lt;VisitHrs/24))-1)+('Anita Klesch'!$B24=$F24)*($G24&lt;DayEnd)*($G24+VisitHrs/24&gt;DayStart)+('Anita Klesch'!$C24=$F24)*((($G24+VisitHrs/24&gt;DayEnd)+($G24&lt;DayStart))&gt;0)+('Test Patient 2'!$B24=$F24)*($G24&lt;DayEnd)*($G24+VisitHrs/24&gt;DayStart)+('Test Patient 2'!$C24=$F24)*((($G24+VisitHrs/24&gt;DayEnd)+($G24&lt;DayStart))&gt;0)&gt;=1,1,0),0)</f>
        <v>0</v>
      </c>
      <c r="M24" s="12" t="str">
        <f t="shared" si="2"/>
        <v/>
      </c>
      <c r="N24" s="12" t="str">
        <f t="shared" si="3"/>
        <v/>
      </c>
      <c r="O24" s="12" t="str">
        <f t="shared" si="4"/>
        <v/>
      </c>
    </row>
    <row r="25" spans="1:15" x14ac:dyDescent="0.2">
      <c r="A25" s="2">
        <f t="shared" si="5"/>
        <v>46231</v>
      </c>
      <c r="B25" s="3"/>
      <c r="C25" s="24"/>
      <c r="D25" s="19"/>
      <c r="E25" s="25"/>
      <c r="F25" s="19"/>
      <c r="G25" s="25"/>
      <c r="H25" s="12">
        <f t="shared" si="0"/>
        <v>0</v>
      </c>
      <c r="I25" s="12">
        <f t="shared" si="1"/>
        <v>0</v>
      </c>
      <c r="J25" s="12">
        <f>IF(AND($H25=1,$B25&lt;&gt;"",ISNUMBER($C25)),IF(((('Lucy Levene'!B25=$B25)*ISNUMBER('Lucy Levene'!C25)*(ABS('Lucy Levene'!C25-$C25)&lt;VisitHrs/24)+('Lucy Levene'!D25=$B25)*ISNUMBER('Lucy Levene'!E25)*(ABS('Lucy Levene'!E25-$C25)&lt;VisitHrs/24)+('Lucy Levene'!F25=$B25)*ISNUMBER('Lucy Levene'!G25)*(ABS('Lucy Levene'!G25-$C25)&lt;VisitHrs/24)+('Tom Bock'!B25=$B25)*ISNUMBER('Tom Bock'!C25)*(ABS('Tom Bock'!C25-$C25)&lt;VisitHrs/24)+('Tom Bock'!D25=$B25)*ISNUMBER('Tom Bock'!E25)*(ABS('Tom Bock'!E25-$C25)&lt;VisitHrs/24)+('Tom Bock'!F25=$B25)*ISNUMBER('Tom Bock'!G25)*(ABS('Tom Bock'!G25-$C25)&lt;VisitHrs/24)+(Jeremy!B25=$B25)*ISNUMBER(Jeremy!C25)*(ABS(Jeremy!C25-$C25)&lt;VisitHrs/24)+(Jeremy!D25=$B25)*ISNUMBER(Jeremy!E25)*(ABS(Jeremy!E25-$C25)&lt;VisitHrs/24)+(Jeremy!F25=$B25)*ISNUMBER(Jeremy!G25)*(ABS(Jeremy!G25-$C25)&lt;VisitHrs/24)+('Test Patient'!B25=$B25)*ISNUMBER('Test Patient'!C25)*(ABS('Test Patient'!C25-$C25)&lt;VisitHrs/24)+('Test Patient'!D25=$B25)*ISNUMBER('Test Patient'!E25)*(ABS('Test Patient'!E25-$C25)&lt;VisitHrs/24)+('Test Patient'!F25=$B25)*ISNUMBER('Test Patient'!G25)*(ABS('Test Patient'!G25-$C25)&lt;VisitHrs/24))-1)+('Anita Klesch'!$B25=$B25)*($C25&lt;DayEnd)*($C25+VisitHrs/24&gt;DayStart)+('Anita Klesch'!$C25=$B25)*((($C25+VisitHrs/24&gt;DayEnd)+($C25&lt;DayStart))&gt;0)+('Test Patient 2'!$B25=$B25)*($C25&lt;DayEnd)*($C25+VisitHrs/24&gt;DayStart)+('Test Patient 2'!$C25=$B25)*((($C25+VisitHrs/24&gt;DayEnd)+($C25&lt;DayStart))&gt;0)&gt;=1,1,0),0)</f>
        <v>0</v>
      </c>
      <c r="K25" s="12">
        <f>IF(AND($H25=1,$D25&lt;&gt;"",ISNUMBER($E25)),IF(((('Lucy Levene'!B25=$D25)*ISNUMBER('Lucy Levene'!C25)*(ABS('Lucy Levene'!C25-$E25)&lt;VisitHrs/24)+('Lucy Levene'!D25=$D25)*ISNUMBER('Lucy Levene'!E25)*(ABS('Lucy Levene'!E25-$E25)&lt;VisitHrs/24)+('Lucy Levene'!F25=$D25)*ISNUMBER('Lucy Levene'!G25)*(ABS('Lucy Levene'!G25-$E25)&lt;VisitHrs/24)+('Tom Bock'!B25=$D25)*ISNUMBER('Tom Bock'!C25)*(ABS('Tom Bock'!C25-$E25)&lt;VisitHrs/24)+('Tom Bock'!D25=$D25)*ISNUMBER('Tom Bock'!E25)*(ABS('Tom Bock'!E25-$E25)&lt;VisitHrs/24)+('Tom Bock'!F25=$D25)*ISNUMBER('Tom Bock'!G25)*(ABS('Tom Bock'!G25-$E25)&lt;VisitHrs/24)+(Jeremy!B25=$D25)*ISNUMBER(Jeremy!C25)*(ABS(Jeremy!C25-$E25)&lt;VisitHrs/24)+(Jeremy!D25=$D25)*ISNUMBER(Jeremy!E25)*(ABS(Jeremy!E25-$E25)&lt;VisitHrs/24)+(Jeremy!F25=$D25)*ISNUMBER(Jeremy!G25)*(ABS(Jeremy!G25-$E25)&lt;VisitHrs/24)+('Test Patient'!B25=$D25)*ISNUMBER('Test Patient'!C25)*(ABS('Test Patient'!C25-$E25)&lt;VisitHrs/24)+('Test Patient'!D25=$D25)*ISNUMBER('Test Patient'!E25)*(ABS('Test Patient'!E25-$E25)&lt;VisitHrs/24)+('Test Patient'!F25=$D25)*ISNUMBER('Test Patient'!G25)*(ABS('Test Patient'!G25-$E25)&lt;VisitHrs/24))-1)+('Anita Klesch'!$B25=$D25)*($E25&lt;DayEnd)*($E25+VisitHrs/24&gt;DayStart)+('Anita Klesch'!$C25=$D25)*((($E25+VisitHrs/24&gt;DayEnd)+($E25&lt;DayStart))&gt;0)+('Test Patient 2'!$B25=$D25)*($E25&lt;DayEnd)*($E25+VisitHrs/24&gt;DayStart)+('Test Patient 2'!$C25=$D25)*((($E25+VisitHrs/24&gt;DayEnd)+($E25&lt;DayStart))&gt;0)&gt;=1,1,0),0)</f>
        <v>0</v>
      </c>
      <c r="L25" s="12">
        <f>IF(AND($H25=1,$F25&lt;&gt;"",ISNUMBER($G25)),IF(((('Lucy Levene'!B25=$F25)*ISNUMBER('Lucy Levene'!C25)*(ABS('Lucy Levene'!C25-$G25)&lt;VisitHrs/24)+('Lucy Levene'!D25=$F25)*ISNUMBER('Lucy Levene'!E25)*(ABS('Lucy Levene'!E25-$G25)&lt;VisitHrs/24)+('Lucy Levene'!F25=$F25)*ISNUMBER('Lucy Levene'!G25)*(ABS('Lucy Levene'!G25-$G25)&lt;VisitHrs/24)+('Tom Bock'!B25=$F25)*ISNUMBER('Tom Bock'!C25)*(ABS('Tom Bock'!C25-$G25)&lt;VisitHrs/24)+('Tom Bock'!D25=$F25)*ISNUMBER('Tom Bock'!E25)*(ABS('Tom Bock'!E25-$G25)&lt;VisitHrs/24)+('Tom Bock'!F25=$F25)*ISNUMBER('Tom Bock'!G25)*(ABS('Tom Bock'!G25-$G25)&lt;VisitHrs/24)+(Jeremy!B25=$F25)*ISNUMBER(Jeremy!C25)*(ABS(Jeremy!C25-$G25)&lt;VisitHrs/24)+(Jeremy!D25=$F25)*ISNUMBER(Jeremy!E25)*(ABS(Jeremy!E25-$G25)&lt;VisitHrs/24)+(Jeremy!F25=$F25)*ISNUMBER(Jeremy!G25)*(ABS(Jeremy!G25-$G25)&lt;VisitHrs/24)+('Test Patient'!B25=$F25)*ISNUMBER('Test Patient'!C25)*(ABS('Test Patient'!C25-$G25)&lt;VisitHrs/24)+('Test Patient'!D25=$F25)*ISNUMBER('Test Patient'!E25)*(ABS('Test Patient'!E25-$G25)&lt;VisitHrs/24)+('Test Patient'!F25=$F25)*ISNUMBER('Test Patient'!G25)*(ABS('Test Patient'!G25-$G25)&lt;VisitHrs/24))-1)+('Anita Klesch'!$B25=$F25)*($G25&lt;DayEnd)*($G25+VisitHrs/24&gt;DayStart)+('Anita Klesch'!$C25=$F25)*((($G25+VisitHrs/24&gt;DayEnd)+($G25&lt;DayStart))&gt;0)+('Test Patient 2'!$B25=$F25)*($G25&lt;DayEnd)*($G25+VisitHrs/24&gt;DayStart)+('Test Patient 2'!$C25=$F25)*((($G25+VisitHrs/24&gt;DayEnd)+($G25&lt;DayStart))&gt;0)&gt;=1,1,0),0)</f>
        <v>0</v>
      </c>
      <c r="M25" s="12" t="str">
        <f t="shared" si="2"/>
        <v/>
      </c>
      <c r="N25" s="12" t="str">
        <f t="shared" si="3"/>
        <v/>
      </c>
      <c r="O25" s="12" t="str">
        <f t="shared" si="4"/>
        <v/>
      </c>
    </row>
    <row r="26" spans="1:15" x14ac:dyDescent="0.2">
      <c r="A26" s="2">
        <f t="shared" si="5"/>
        <v>46232</v>
      </c>
      <c r="B26" s="3"/>
      <c r="C26" s="24"/>
      <c r="D26" s="19"/>
      <c r="E26" s="25"/>
      <c r="F26" s="19"/>
      <c r="G26" s="25"/>
      <c r="H26" s="12">
        <f t="shared" si="0"/>
        <v>0</v>
      </c>
      <c r="I26" s="12">
        <f t="shared" si="1"/>
        <v>0</v>
      </c>
      <c r="J26" s="12">
        <f>IF(AND($H26=1,$B26&lt;&gt;"",ISNUMBER($C26)),IF(((('Lucy Levene'!B26=$B26)*ISNUMBER('Lucy Levene'!C26)*(ABS('Lucy Levene'!C26-$C26)&lt;VisitHrs/24)+('Lucy Levene'!D26=$B26)*ISNUMBER('Lucy Levene'!E26)*(ABS('Lucy Levene'!E26-$C26)&lt;VisitHrs/24)+('Lucy Levene'!F26=$B26)*ISNUMBER('Lucy Levene'!G26)*(ABS('Lucy Levene'!G26-$C26)&lt;VisitHrs/24)+('Tom Bock'!B26=$B26)*ISNUMBER('Tom Bock'!C26)*(ABS('Tom Bock'!C26-$C26)&lt;VisitHrs/24)+('Tom Bock'!D26=$B26)*ISNUMBER('Tom Bock'!E26)*(ABS('Tom Bock'!E26-$C26)&lt;VisitHrs/24)+('Tom Bock'!F26=$B26)*ISNUMBER('Tom Bock'!G26)*(ABS('Tom Bock'!G26-$C26)&lt;VisitHrs/24)+(Jeremy!B26=$B26)*ISNUMBER(Jeremy!C26)*(ABS(Jeremy!C26-$C26)&lt;VisitHrs/24)+(Jeremy!D26=$B26)*ISNUMBER(Jeremy!E26)*(ABS(Jeremy!E26-$C26)&lt;VisitHrs/24)+(Jeremy!F26=$B26)*ISNUMBER(Jeremy!G26)*(ABS(Jeremy!G26-$C26)&lt;VisitHrs/24)+('Test Patient'!B26=$B26)*ISNUMBER('Test Patient'!C26)*(ABS('Test Patient'!C26-$C26)&lt;VisitHrs/24)+('Test Patient'!D26=$B26)*ISNUMBER('Test Patient'!E26)*(ABS('Test Patient'!E26-$C26)&lt;VisitHrs/24)+('Test Patient'!F26=$B26)*ISNUMBER('Test Patient'!G26)*(ABS('Test Patient'!G26-$C26)&lt;VisitHrs/24))-1)+('Anita Klesch'!$B26=$B26)*($C26&lt;DayEnd)*($C26+VisitHrs/24&gt;DayStart)+('Anita Klesch'!$C26=$B26)*((($C26+VisitHrs/24&gt;DayEnd)+($C26&lt;DayStart))&gt;0)+('Test Patient 2'!$B26=$B26)*($C26&lt;DayEnd)*($C26+VisitHrs/24&gt;DayStart)+('Test Patient 2'!$C26=$B26)*((($C26+VisitHrs/24&gt;DayEnd)+($C26&lt;DayStart))&gt;0)&gt;=1,1,0),0)</f>
        <v>0</v>
      </c>
      <c r="K26" s="12">
        <f>IF(AND($H26=1,$D26&lt;&gt;"",ISNUMBER($E26)),IF(((('Lucy Levene'!B26=$D26)*ISNUMBER('Lucy Levene'!C26)*(ABS('Lucy Levene'!C26-$E26)&lt;VisitHrs/24)+('Lucy Levene'!D26=$D26)*ISNUMBER('Lucy Levene'!E26)*(ABS('Lucy Levene'!E26-$E26)&lt;VisitHrs/24)+('Lucy Levene'!F26=$D26)*ISNUMBER('Lucy Levene'!G26)*(ABS('Lucy Levene'!G26-$E26)&lt;VisitHrs/24)+('Tom Bock'!B26=$D26)*ISNUMBER('Tom Bock'!C26)*(ABS('Tom Bock'!C26-$E26)&lt;VisitHrs/24)+('Tom Bock'!D26=$D26)*ISNUMBER('Tom Bock'!E26)*(ABS('Tom Bock'!E26-$E26)&lt;VisitHrs/24)+('Tom Bock'!F26=$D26)*ISNUMBER('Tom Bock'!G26)*(ABS('Tom Bock'!G26-$E26)&lt;VisitHrs/24)+(Jeremy!B26=$D26)*ISNUMBER(Jeremy!C26)*(ABS(Jeremy!C26-$E26)&lt;VisitHrs/24)+(Jeremy!D26=$D26)*ISNUMBER(Jeremy!E26)*(ABS(Jeremy!E26-$E26)&lt;VisitHrs/24)+(Jeremy!F26=$D26)*ISNUMBER(Jeremy!G26)*(ABS(Jeremy!G26-$E26)&lt;VisitHrs/24)+('Test Patient'!B26=$D26)*ISNUMBER('Test Patient'!C26)*(ABS('Test Patient'!C26-$E26)&lt;VisitHrs/24)+('Test Patient'!D26=$D26)*ISNUMBER('Test Patient'!E26)*(ABS('Test Patient'!E26-$E26)&lt;VisitHrs/24)+('Test Patient'!F26=$D26)*ISNUMBER('Test Patient'!G26)*(ABS('Test Patient'!G26-$E26)&lt;VisitHrs/24))-1)+('Anita Klesch'!$B26=$D26)*($E26&lt;DayEnd)*($E26+VisitHrs/24&gt;DayStart)+('Anita Klesch'!$C26=$D26)*((($E26+VisitHrs/24&gt;DayEnd)+($E26&lt;DayStart))&gt;0)+('Test Patient 2'!$B26=$D26)*($E26&lt;DayEnd)*($E26+VisitHrs/24&gt;DayStart)+('Test Patient 2'!$C26=$D26)*((($E26+VisitHrs/24&gt;DayEnd)+($E26&lt;DayStart))&gt;0)&gt;=1,1,0),0)</f>
        <v>0</v>
      </c>
      <c r="L26" s="12">
        <f>IF(AND($H26=1,$F26&lt;&gt;"",ISNUMBER($G26)),IF(((('Lucy Levene'!B26=$F26)*ISNUMBER('Lucy Levene'!C26)*(ABS('Lucy Levene'!C26-$G26)&lt;VisitHrs/24)+('Lucy Levene'!D26=$F26)*ISNUMBER('Lucy Levene'!E26)*(ABS('Lucy Levene'!E26-$G26)&lt;VisitHrs/24)+('Lucy Levene'!F26=$F26)*ISNUMBER('Lucy Levene'!G26)*(ABS('Lucy Levene'!G26-$G26)&lt;VisitHrs/24)+('Tom Bock'!B26=$F26)*ISNUMBER('Tom Bock'!C26)*(ABS('Tom Bock'!C26-$G26)&lt;VisitHrs/24)+('Tom Bock'!D26=$F26)*ISNUMBER('Tom Bock'!E26)*(ABS('Tom Bock'!E26-$G26)&lt;VisitHrs/24)+('Tom Bock'!F26=$F26)*ISNUMBER('Tom Bock'!G26)*(ABS('Tom Bock'!G26-$G26)&lt;VisitHrs/24)+(Jeremy!B26=$F26)*ISNUMBER(Jeremy!C26)*(ABS(Jeremy!C26-$G26)&lt;VisitHrs/24)+(Jeremy!D26=$F26)*ISNUMBER(Jeremy!E26)*(ABS(Jeremy!E26-$G26)&lt;VisitHrs/24)+(Jeremy!F26=$F26)*ISNUMBER(Jeremy!G26)*(ABS(Jeremy!G26-$G26)&lt;VisitHrs/24)+('Test Patient'!B26=$F26)*ISNUMBER('Test Patient'!C26)*(ABS('Test Patient'!C26-$G26)&lt;VisitHrs/24)+('Test Patient'!D26=$F26)*ISNUMBER('Test Patient'!E26)*(ABS('Test Patient'!E26-$G26)&lt;VisitHrs/24)+('Test Patient'!F26=$F26)*ISNUMBER('Test Patient'!G26)*(ABS('Test Patient'!G26-$G26)&lt;VisitHrs/24))-1)+('Anita Klesch'!$B26=$F26)*($G26&lt;DayEnd)*($G26+VisitHrs/24&gt;DayStart)+('Anita Klesch'!$C26=$F26)*((($G26+VisitHrs/24&gt;DayEnd)+($G26&lt;DayStart))&gt;0)+('Test Patient 2'!$B26=$F26)*($G26&lt;DayEnd)*($G26+VisitHrs/24&gt;DayStart)+('Test Patient 2'!$C26=$F26)*((($G26+VisitHrs/24&gt;DayEnd)+($G26&lt;DayStart))&gt;0)&gt;=1,1,0),0)</f>
        <v>0</v>
      </c>
      <c r="M26" s="12" t="str">
        <f t="shared" si="2"/>
        <v/>
      </c>
      <c r="N26" s="12" t="str">
        <f t="shared" si="3"/>
        <v/>
      </c>
      <c r="O26" s="12" t="str">
        <f t="shared" si="4"/>
        <v/>
      </c>
    </row>
    <row r="27" spans="1:15" x14ac:dyDescent="0.2">
      <c r="A27" s="2">
        <f t="shared" si="5"/>
        <v>46233</v>
      </c>
      <c r="B27" s="3"/>
      <c r="C27" s="24"/>
      <c r="D27" s="19"/>
      <c r="E27" s="25"/>
      <c r="F27" s="19"/>
      <c r="G27" s="25"/>
      <c r="H27" s="12">
        <f t="shared" si="0"/>
        <v>0</v>
      </c>
      <c r="I27" s="12">
        <f t="shared" si="1"/>
        <v>0</v>
      </c>
      <c r="J27" s="12">
        <f>IF(AND($H27=1,$B27&lt;&gt;"",ISNUMBER($C27)),IF(((('Lucy Levene'!B27=$B27)*ISNUMBER('Lucy Levene'!C27)*(ABS('Lucy Levene'!C27-$C27)&lt;VisitHrs/24)+('Lucy Levene'!D27=$B27)*ISNUMBER('Lucy Levene'!E27)*(ABS('Lucy Levene'!E27-$C27)&lt;VisitHrs/24)+('Lucy Levene'!F27=$B27)*ISNUMBER('Lucy Levene'!G27)*(ABS('Lucy Levene'!G27-$C27)&lt;VisitHrs/24)+('Tom Bock'!B27=$B27)*ISNUMBER('Tom Bock'!C27)*(ABS('Tom Bock'!C27-$C27)&lt;VisitHrs/24)+('Tom Bock'!D27=$B27)*ISNUMBER('Tom Bock'!E27)*(ABS('Tom Bock'!E27-$C27)&lt;VisitHrs/24)+('Tom Bock'!F27=$B27)*ISNUMBER('Tom Bock'!G27)*(ABS('Tom Bock'!G27-$C27)&lt;VisitHrs/24)+(Jeremy!B27=$B27)*ISNUMBER(Jeremy!C27)*(ABS(Jeremy!C27-$C27)&lt;VisitHrs/24)+(Jeremy!D27=$B27)*ISNUMBER(Jeremy!E27)*(ABS(Jeremy!E27-$C27)&lt;VisitHrs/24)+(Jeremy!F27=$B27)*ISNUMBER(Jeremy!G27)*(ABS(Jeremy!G27-$C27)&lt;VisitHrs/24)+('Test Patient'!B27=$B27)*ISNUMBER('Test Patient'!C27)*(ABS('Test Patient'!C27-$C27)&lt;VisitHrs/24)+('Test Patient'!D27=$B27)*ISNUMBER('Test Patient'!E27)*(ABS('Test Patient'!E27-$C27)&lt;VisitHrs/24)+('Test Patient'!F27=$B27)*ISNUMBER('Test Patient'!G27)*(ABS('Test Patient'!G27-$C27)&lt;VisitHrs/24))-1)+('Anita Klesch'!$B27=$B27)*($C27&lt;DayEnd)*($C27+VisitHrs/24&gt;DayStart)+('Anita Klesch'!$C27=$B27)*((($C27+VisitHrs/24&gt;DayEnd)+($C27&lt;DayStart))&gt;0)+('Test Patient 2'!$B27=$B27)*($C27&lt;DayEnd)*($C27+VisitHrs/24&gt;DayStart)+('Test Patient 2'!$C27=$B27)*((($C27+VisitHrs/24&gt;DayEnd)+($C27&lt;DayStart))&gt;0)&gt;=1,1,0),0)</f>
        <v>0</v>
      </c>
      <c r="K27" s="12">
        <f>IF(AND($H27=1,$D27&lt;&gt;"",ISNUMBER($E27)),IF(((('Lucy Levene'!B27=$D27)*ISNUMBER('Lucy Levene'!C27)*(ABS('Lucy Levene'!C27-$E27)&lt;VisitHrs/24)+('Lucy Levene'!D27=$D27)*ISNUMBER('Lucy Levene'!E27)*(ABS('Lucy Levene'!E27-$E27)&lt;VisitHrs/24)+('Lucy Levene'!F27=$D27)*ISNUMBER('Lucy Levene'!G27)*(ABS('Lucy Levene'!G27-$E27)&lt;VisitHrs/24)+('Tom Bock'!B27=$D27)*ISNUMBER('Tom Bock'!C27)*(ABS('Tom Bock'!C27-$E27)&lt;VisitHrs/24)+('Tom Bock'!D27=$D27)*ISNUMBER('Tom Bock'!E27)*(ABS('Tom Bock'!E27-$E27)&lt;VisitHrs/24)+('Tom Bock'!F27=$D27)*ISNUMBER('Tom Bock'!G27)*(ABS('Tom Bock'!G27-$E27)&lt;VisitHrs/24)+(Jeremy!B27=$D27)*ISNUMBER(Jeremy!C27)*(ABS(Jeremy!C27-$E27)&lt;VisitHrs/24)+(Jeremy!D27=$D27)*ISNUMBER(Jeremy!E27)*(ABS(Jeremy!E27-$E27)&lt;VisitHrs/24)+(Jeremy!F27=$D27)*ISNUMBER(Jeremy!G27)*(ABS(Jeremy!G27-$E27)&lt;VisitHrs/24)+('Test Patient'!B27=$D27)*ISNUMBER('Test Patient'!C27)*(ABS('Test Patient'!C27-$E27)&lt;VisitHrs/24)+('Test Patient'!D27=$D27)*ISNUMBER('Test Patient'!E27)*(ABS('Test Patient'!E27-$E27)&lt;VisitHrs/24)+('Test Patient'!F27=$D27)*ISNUMBER('Test Patient'!G27)*(ABS('Test Patient'!G27-$E27)&lt;VisitHrs/24))-1)+('Anita Klesch'!$B27=$D27)*($E27&lt;DayEnd)*($E27+VisitHrs/24&gt;DayStart)+('Anita Klesch'!$C27=$D27)*((($E27+VisitHrs/24&gt;DayEnd)+($E27&lt;DayStart))&gt;0)+('Test Patient 2'!$B27=$D27)*($E27&lt;DayEnd)*($E27+VisitHrs/24&gt;DayStart)+('Test Patient 2'!$C27=$D27)*((($E27+VisitHrs/24&gt;DayEnd)+($E27&lt;DayStart))&gt;0)&gt;=1,1,0),0)</f>
        <v>0</v>
      </c>
      <c r="L27" s="12">
        <f>IF(AND($H27=1,$F27&lt;&gt;"",ISNUMBER($G27)),IF(((('Lucy Levene'!B27=$F27)*ISNUMBER('Lucy Levene'!C27)*(ABS('Lucy Levene'!C27-$G27)&lt;VisitHrs/24)+('Lucy Levene'!D27=$F27)*ISNUMBER('Lucy Levene'!E27)*(ABS('Lucy Levene'!E27-$G27)&lt;VisitHrs/24)+('Lucy Levene'!F27=$F27)*ISNUMBER('Lucy Levene'!G27)*(ABS('Lucy Levene'!G27-$G27)&lt;VisitHrs/24)+('Tom Bock'!B27=$F27)*ISNUMBER('Tom Bock'!C27)*(ABS('Tom Bock'!C27-$G27)&lt;VisitHrs/24)+('Tom Bock'!D27=$F27)*ISNUMBER('Tom Bock'!E27)*(ABS('Tom Bock'!E27-$G27)&lt;VisitHrs/24)+('Tom Bock'!F27=$F27)*ISNUMBER('Tom Bock'!G27)*(ABS('Tom Bock'!G27-$G27)&lt;VisitHrs/24)+(Jeremy!B27=$F27)*ISNUMBER(Jeremy!C27)*(ABS(Jeremy!C27-$G27)&lt;VisitHrs/24)+(Jeremy!D27=$F27)*ISNUMBER(Jeremy!E27)*(ABS(Jeremy!E27-$G27)&lt;VisitHrs/24)+(Jeremy!F27=$F27)*ISNUMBER(Jeremy!G27)*(ABS(Jeremy!G27-$G27)&lt;VisitHrs/24)+('Test Patient'!B27=$F27)*ISNUMBER('Test Patient'!C27)*(ABS('Test Patient'!C27-$G27)&lt;VisitHrs/24)+('Test Patient'!D27=$F27)*ISNUMBER('Test Patient'!E27)*(ABS('Test Patient'!E27-$G27)&lt;VisitHrs/24)+('Test Patient'!F27=$F27)*ISNUMBER('Test Patient'!G27)*(ABS('Test Patient'!G27-$G27)&lt;VisitHrs/24))-1)+('Anita Klesch'!$B27=$F27)*($G27&lt;DayEnd)*($G27+VisitHrs/24&gt;DayStart)+('Anita Klesch'!$C27=$F27)*((($G27+VisitHrs/24&gt;DayEnd)+($G27&lt;DayStart))&gt;0)+('Test Patient 2'!$B27=$F27)*($G27&lt;DayEnd)*($G27+VisitHrs/24&gt;DayStart)+('Test Patient 2'!$C27=$F27)*((($G27+VisitHrs/24&gt;DayEnd)+($G27&lt;DayStart))&gt;0)&gt;=1,1,0),0)</f>
        <v>0</v>
      </c>
      <c r="M27" s="12" t="str">
        <f t="shared" si="2"/>
        <v/>
      </c>
      <c r="N27" s="12" t="str">
        <f t="shared" si="3"/>
        <v/>
      </c>
      <c r="O27" s="12" t="str">
        <f t="shared" si="4"/>
        <v/>
      </c>
    </row>
    <row r="28" spans="1:15" x14ac:dyDescent="0.2">
      <c r="A28" s="2">
        <f t="shared" si="5"/>
        <v>46234</v>
      </c>
      <c r="B28" s="3"/>
      <c r="C28" s="24"/>
      <c r="D28" s="19"/>
      <c r="E28" s="25"/>
      <c r="F28" s="19"/>
      <c r="G28" s="25"/>
      <c r="H28" s="12">
        <f t="shared" si="0"/>
        <v>0</v>
      </c>
      <c r="I28" s="12">
        <f t="shared" si="1"/>
        <v>0</v>
      </c>
      <c r="J28" s="12">
        <f>IF(AND($H28=1,$B28&lt;&gt;"",ISNUMBER($C28)),IF(((('Lucy Levene'!B28=$B28)*ISNUMBER('Lucy Levene'!C28)*(ABS('Lucy Levene'!C28-$C28)&lt;VisitHrs/24)+('Lucy Levene'!D28=$B28)*ISNUMBER('Lucy Levene'!E28)*(ABS('Lucy Levene'!E28-$C28)&lt;VisitHrs/24)+('Lucy Levene'!F28=$B28)*ISNUMBER('Lucy Levene'!G28)*(ABS('Lucy Levene'!G28-$C28)&lt;VisitHrs/24)+('Tom Bock'!B28=$B28)*ISNUMBER('Tom Bock'!C28)*(ABS('Tom Bock'!C28-$C28)&lt;VisitHrs/24)+('Tom Bock'!D28=$B28)*ISNUMBER('Tom Bock'!E28)*(ABS('Tom Bock'!E28-$C28)&lt;VisitHrs/24)+('Tom Bock'!F28=$B28)*ISNUMBER('Tom Bock'!G28)*(ABS('Tom Bock'!G28-$C28)&lt;VisitHrs/24)+(Jeremy!B28=$B28)*ISNUMBER(Jeremy!C28)*(ABS(Jeremy!C28-$C28)&lt;VisitHrs/24)+(Jeremy!D28=$B28)*ISNUMBER(Jeremy!E28)*(ABS(Jeremy!E28-$C28)&lt;VisitHrs/24)+(Jeremy!F28=$B28)*ISNUMBER(Jeremy!G28)*(ABS(Jeremy!G28-$C28)&lt;VisitHrs/24)+('Test Patient'!B28=$B28)*ISNUMBER('Test Patient'!C28)*(ABS('Test Patient'!C28-$C28)&lt;VisitHrs/24)+('Test Patient'!D28=$B28)*ISNUMBER('Test Patient'!E28)*(ABS('Test Patient'!E28-$C28)&lt;VisitHrs/24)+('Test Patient'!F28=$B28)*ISNUMBER('Test Patient'!G28)*(ABS('Test Patient'!G28-$C28)&lt;VisitHrs/24))-1)+('Anita Klesch'!$B28=$B28)*($C28&lt;DayEnd)*($C28+VisitHrs/24&gt;DayStart)+('Anita Klesch'!$C28=$B28)*((($C28+VisitHrs/24&gt;DayEnd)+($C28&lt;DayStart))&gt;0)+('Test Patient 2'!$B28=$B28)*($C28&lt;DayEnd)*($C28+VisitHrs/24&gt;DayStart)+('Test Patient 2'!$C28=$B28)*((($C28+VisitHrs/24&gt;DayEnd)+($C28&lt;DayStart))&gt;0)&gt;=1,1,0),0)</f>
        <v>0</v>
      </c>
      <c r="K28" s="12">
        <f>IF(AND($H28=1,$D28&lt;&gt;"",ISNUMBER($E28)),IF(((('Lucy Levene'!B28=$D28)*ISNUMBER('Lucy Levene'!C28)*(ABS('Lucy Levene'!C28-$E28)&lt;VisitHrs/24)+('Lucy Levene'!D28=$D28)*ISNUMBER('Lucy Levene'!E28)*(ABS('Lucy Levene'!E28-$E28)&lt;VisitHrs/24)+('Lucy Levene'!F28=$D28)*ISNUMBER('Lucy Levene'!G28)*(ABS('Lucy Levene'!G28-$E28)&lt;VisitHrs/24)+('Tom Bock'!B28=$D28)*ISNUMBER('Tom Bock'!C28)*(ABS('Tom Bock'!C28-$E28)&lt;VisitHrs/24)+('Tom Bock'!D28=$D28)*ISNUMBER('Tom Bock'!E28)*(ABS('Tom Bock'!E28-$E28)&lt;VisitHrs/24)+('Tom Bock'!F28=$D28)*ISNUMBER('Tom Bock'!G28)*(ABS('Tom Bock'!G28-$E28)&lt;VisitHrs/24)+(Jeremy!B28=$D28)*ISNUMBER(Jeremy!C28)*(ABS(Jeremy!C28-$E28)&lt;VisitHrs/24)+(Jeremy!D28=$D28)*ISNUMBER(Jeremy!E28)*(ABS(Jeremy!E28-$E28)&lt;VisitHrs/24)+(Jeremy!F28=$D28)*ISNUMBER(Jeremy!G28)*(ABS(Jeremy!G28-$E28)&lt;VisitHrs/24)+('Test Patient'!B28=$D28)*ISNUMBER('Test Patient'!C28)*(ABS('Test Patient'!C28-$E28)&lt;VisitHrs/24)+('Test Patient'!D28=$D28)*ISNUMBER('Test Patient'!E28)*(ABS('Test Patient'!E28-$E28)&lt;VisitHrs/24)+('Test Patient'!F28=$D28)*ISNUMBER('Test Patient'!G28)*(ABS('Test Patient'!G28-$E28)&lt;VisitHrs/24))-1)+('Anita Klesch'!$B28=$D28)*($E28&lt;DayEnd)*($E28+VisitHrs/24&gt;DayStart)+('Anita Klesch'!$C28=$D28)*((($E28+VisitHrs/24&gt;DayEnd)+($E28&lt;DayStart))&gt;0)+('Test Patient 2'!$B28=$D28)*($E28&lt;DayEnd)*($E28+VisitHrs/24&gt;DayStart)+('Test Patient 2'!$C28=$D28)*((($E28+VisitHrs/24&gt;DayEnd)+($E28&lt;DayStart))&gt;0)&gt;=1,1,0),0)</f>
        <v>0</v>
      </c>
      <c r="L28" s="12">
        <f>IF(AND($H28=1,$F28&lt;&gt;"",ISNUMBER($G28)),IF(((('Lucy Levene'!B28=$F28)*ISNUMBER('Lucy Levene'!C28)*(ABS('Lucy Levene'!C28-$G28)&lt;VisitHrs/24)+('Lucy Levene'!D28=$F28)*ISNUMBER('Lucy Levene'!E28)*(ABS('Lucy Levene'!E28-$G28)&lt;VisitHrs/24)+('Lucy Levene'!F28=$F28)*ISNUMBER('Lucy Levene'!G28)*(ABS('Lucy Levene'!G28-$G28)&lt;VisitHrs/24)+('Tom Bock'!B28=$F28)*ISNUMBER('Tom Bock'!C28)*(ABS('Tom Bock'!C28-$G28)&lt;VisitHrs/24)+('Tom Bock'!D28=$F28)*ISNUMBER('Tom Bock'!E28)*(ABS('Tom Bock'!E28-$G28)&lt;VisitHrs/24)+('Tom Bock'!F28=$F28)*ISNUMBER('Tom Bock'!G28)*(ABS('Tom Bock'!G28-$G28)&lt;VisitHrs/24)+(Jeremy!B28=$F28)*ISNUMBER(Jeremy!C28)*(ABS(Jeremy!C28-$G28)&lt;VisitHrs/24)+(Jeremy!D28=$F28)*ISNUMBER(Jeremy!E28)*(ABS(Jeremy!E28-$G28)&lt;VisitHrs/24)+(Jeremy!F28=$F28)*ISNUMBER(Jeremy!G28)*(ABS(Jeremy!G28-$G28)&lt;VisitHrs/24)+('Test Patient'!B28=$F28)*ISNUMBER('Test Patient'!C28)*(ABS('Test Patient'!C28-$G28)&lt;VisitHrs/24)+('Test Patient'!D28=$F28)*ISNUMBER('Test Patient'!E28)*(ABS('Test Patient'!E28-$G28)&lt;VisitHrs/24)+('Test Patient'!F28=$F28)*ISNUMBER('Test Patient'!G28)*(ABS('Test Patient'!G28-$G28)&lt;VisitHrs/24))-1)+('Anita Klesch'!$B28=$F28)*($G28&lt;DayEnd)*($G28+VisitHrs/24&gt;DayStart)+('Anita Klesch'!$C28=$F28)*((($G28+VisitHrs/24&gt;DayEnd)+($G28&lt;DayStart))&gt;0)+('Test Patient 2'!$B28=$F28)*($G28&lt;DayEnd)*($G28+VisitHrs/24&gt;DayStart)+('Test Patient 2'!$C28=$F28)*((($G28+VisitHrs/24&gt;DayEnd)+($G28&lt;DayStart))&gt;0)&gt;=1,1,0),0)</f>
        <v>0</v>
      </c>
      <c r="M28" s="12" t="str">
        <f t="shared" si="2"/>
        <v/>
      </c>
      <c r="N28" s="12" t="str">
        <f t="shared" si="3"/>
        <v/>
      </c>
      <c r="O28" s="12" t="str">
        <f t="shared" si="4"/>
        <v/>
      </c>
    </row>
    <row r="29" spans="1:15" x14ac:dyDescent="0.2">
      <c r="A29" s="2">
        <f t="shared" si="5"/>
        <v>46235</v>
      </c>
      <c r="B29" s="3"/>
      <c r="C29" s="24"/>
      <c r="D29" s="19"/>
      <c r="E29" s="25"/>
      <c r="F29" s="19"/>
      <c r="G29" s="25"/>
      <c r="H29" s="12">
        <f t="shared" si="0"/>
        <v>0</v>
      </c>
      <c r="I29" s="12">
        <f t="shared" si="1"/>
        <v>0</v>
      </c>
      <c r="J29" s="12">
        <f>IF(AND($H29=1,$B29&lt;&gt;"",ISNUMBER($C29)),IF(((('Lucy Levene'!B29=$B29)*ISNUMBER('Lucy Levene'!C29)*(ABS('Lucy Levene'!C29-$C29)&lt;VisitHrs/24)+('Lucy Levene'!D29=$B29)*ISNUMBER('Lucy Levene'!E29)*(ABS('Lucy Levene'!E29-$C29)&lt;VisitHrs/24)+('Lucy Levene'!F29=$B29)*ISNUMBER('Lucy Levene'!G29)*(ABS('Lucy Levene'!G29-$C29)&lt;VisitHrs/24)+('Tom Bock'!B29=$B29)*ISNUMBER('Tom Bock'!C29)*(ABS('Tom Bock'!C29-$C29)&lt;VisitHrs/24)+('Tom Bock'!D29=$B29)*ISNUMBER('Tom Bock'!E29)*(ABS('Tom Bock'!E29-$C29)&lt;VisitHrs/24)+('Tom Bock'!F29=$B29)*ISNUMBER('Tom Bock'!G29)*(ABS('Tom Bock'!G29-$C29)&lt;VisitHrs/24)+(Jeremy!B29=$B29)*ISNUMBER(Jeremy!C29)*(ABS(Jeremy!C29-$C29)&lt;VisitHrs/24)+(Jeremy!D29=$B29)*ISNUMBER(Jeremy!E29)*(ABS(Jeremy!E29-$C29)&lt;VisitHrs/24)+(Jeremy!F29=$B29)*ISNUMBER(Jeremy!G29)*(ABS(Jeremy!G29-$C29)&lt;VisitHrs/24)+('Test Patient'!B29=$B29)*ISNUMBER('Test Patient'!C29)*(ABS('Test Patient'!C29-$C29)&lt;VisitHrs/24)+('Test Patient'!D29=$B29)*ISNUMBER('Test Patient'!E29)*(ABS('Test Patient'!E29-$C29)&lt;VisitHrs/24)+('Test Patient'!F29=$B29)*ISNUMBER('Test Patient'!G29)*(ABS('Test Patient'!G29-$C29)&lt;VisitHrs/24))-1)+('Anita Klesch'!$B29=$B29)*($C29&lt;DayEnd)*($C29+VisitHrs/24&gt;DayStart)+('Anita Klesch'!$C29=$B29)*((($C29+VisitHrs/24&gt;DayEnd)+($C29&lt;DayStart))&gt;0)+('Test Patient 2'!$B29=$B29)*($C29&lt;DayEnd)*($C29+VisitHrs/24&gt;DayStart)+('Test Patient 2'!$C29=$B29)*((($C29+VisitHrs/24&gt;DayEnd)+($C29&lt;DayStart))&gt;0)&gt;=1,1,0),0)</f>
        <v>0</v>
      </c>
      <c r="K29" s="12">
        <f>IF(AND($H29=1,$D29&lt;&gt;"",ISNUMBER($E29)),IF(((('Lucy Levene'!B29=$D29)*ISNUMBER('Lucy Levene'!C29)*(ABS('Lucy Levene'!C29-$E29)&lt;VisitHrs/24)+('Lucy Levene'!D29=$D29)*ISNUMBER('Lucy Levene'!E29)*(ABS('Lucy Levene'!E29-$E29)&lt;VisitHrs/24)+('Lucy Levene'!F29=$D29)*ISNUMBER('Lucy Levene'!G29)*(ABS('Lucy Levene'!G29-$E29)&lt;VisitHrs/24)+('Tom Bock'!B29=$D29)*ISNUMBER('Tom Bock'!C29)*(ABS('Tom Bock'!C29-$E29)&lt;VisitHrs/24)+('Tom Bock'!D29=$D29)*ISNUMBER('Tom Bock'!E29)*(ABS('Tom Bock'!E29-$E29)&lt;VisitHrs/24)+('Tom Bock'!F29=$D29)*ISNUMBER('Tom Bock'!G29)*(ABS('Tom Bock'!G29-$E29)&lt;VisitHrs/24)+(Jeremy!B29=$D29)*ISNUMBER(Jeremy!C29)*(ABS(Jeremy!C29-$E29)&lt;VisitHrs/24)+(Jeremy!D29=$D29)*ISNUMBER(Jeremy!E29)*(ABS(Jeremy!E29-$E29)&lt;VisitHrs/24)+(Jeremy!F29=$D29)*ISNUMBER(Jeremy!G29)*(ABS(Jeremy!G29-$E29)&lt;VisitHrs/24)+('Test Patient'!B29=$D29)*ISNUMBER('Test Patient'!C29)*(ABS('Test Patient'!C29-$E29)&lt;VisitHrs/24)+('Test Patient'!D29=$D29)*ISNUMBER('Test Patient'!E29)*(ABS('Test Patient'!E29-$E29)&lt;VisitHrs/24)+('Test Patient'!F29=$D29)*ISNUMBER('Test Patient'!G29)*(ABS('Test Patient'!G29-$E29)&lt;VisitHrs/24))-1)+('Anita Klesch'!$B29=$D29)*($E29&lt;DayEnd)*($E29+VisitHrs/24&gt;DayStart)+('Anita Klesch'!$C29=$D29)*((($E29+VisitHrs/24&gt;DayEnd)+($E29&lt;DayStart))&gt;0)+('Test Patient 2'!$B29=$D29)*($E29&lt;DayEnd)*($E29+VisitHrs/24&gt;DayStart)+('Test Patient 2'!$C29=$D29)*((($E29+VisitHrs/24&gt;DayEnd)+($E29&lt;DayStart))&gt;0)&gt;=1,1,0),0)</f>
        <v>0</v>
      </c>
      <c r="L29" s="12">
        <f>IF(AND($H29=1,$F29&lt;&gt;"",ISNUMBER($G29)),IF(((('Lucy Levene'!B29=$F29)*ISNUMBER('Lucy Levene'!C29)*(ABS('Lucy Levene'!C29-$G29)&lt;VisitHrs/24)+('Lucy Levene'!D29=$F29)*ISNUMBER('Lucy Levene'!E29)*(ABS('Lucy Levene'!E29-$G29)&lt;VisitHrs/24)+('Lucy Levene'!F29=$F29)*ISNUMBER('Lucy Levene'!G29)*(ABS('Lucy Levene'!G29-$G29)&lt;VisitHrs/24)+('Tom Bock'!B29=$F29)*ISNUMBER('Tom Bock'!C29)*(ABS('Tom Bock'!C29-$G29)&lt;VisitHrs/24)+('Tom Bock'!D29=$F29)*ISNUMBER('Tom Bock'!E29)*(ABS('Tom Bock'!E29-$G29)&lt;VisitHrs/24)+('Tom Bock'!F29=$F29)*ISNUMBER('Tom Bock'!G29)*(ABS('Tom Bock'!G29-$G29)&lt;VisitHrs/24)+(Jeremy!B29=$F29)*ISNUMBER(Jeremy!C29)*(ABS(Jeremy!C29-$G29)&lt;VisitHrs/24)+(Jeremy!D29=$F29)*ISNUMBER(Jeremy!E29)*(ABS(Jeremy!E29-$G29)&lt;VisitHrs/24)+(Jeremy!F29=$F29)*ISNUMBER(Jeremy!G29)*(ABS(Jeremy!G29-$G29)&lt;VisitHrs/24)+('Test Patient'!B29=$F29)*ISNUMBER('Test Patient'!C29)*(ABS('Test Patient'!C29-$G29)&lt;VisitHrs/24)+('Test Patient'!D29=$F29)*ISNUMBER('Test Patient'!E29)*(ABS('Test Patient'!E29-$G29)&lt;VisitHrs/24)+('Test Patient'!F29=$F29)*ISNUMBER('Test Patient'!G29)*(ABS('Test Patient'!G29-$G29)&lt;VisitHrs/24))-1)+('Anita Klesch'!$B29=$F29)*($G29&lt;DayEnd)*($G29+VisitHrs/24&gt;DayStart)+('Anita Klesch'!$C29=$F29)*((($G29+VisitHrs/24&gt;DayEnd)+($G29&lt;DayStart))&gt;0)+('Test Patient 2'!$B29=$F29)*($G29&lt;DayEnd)*($G29+VisitHrs/24&gt;DayStart)+('Test Patient 2'!$C29=$F29)*((($G29+VisitHrs/24&gt;DayEnd)+($G29&lt;DayStart))&gt;0)&gt;=1,1,0),0)</f>
        <v>0</v>
      </c>
      <c r="M29" s="12" t="str">
        <f t="shared" si="2"/>
        <v/>
      </c>
      <c r="N29" s="12" t="str">
        <f t="shared" si="3"/>
        <v/>
      </c>
      <c r="O29" s="12" t="str">
        <f t="shared" si="4"/>
        <v/>
      </c>
    </row>
    <row r="30" spans="1:15" x14ac:dyDescent="0.2">
      <c r="A30" s="2">
        <f t="shared" si="5"/>
        <v>46236</v>
      </c>
      <c r="B30" s="3"/>
      <c r="C30" s="24"/>
      <c r="D30" s="19"/>
      <c r="E30" s="25"/>
      <c r="F30" s="19"/>
      <c r="G30" s="25"/>
      <c r="H30" s="12">
        <f t="shared" si="0"/>
        <v>0</v>
      </c>
      <c r="I30" s="12">
        <f t="shared" si="1"/>
        <v>0</v>
      </c>
      <c r="J30" s="12">
        <f>IF(AND($H30=1,$B30&lt;&gt;"",ISNUMBER($C30)),IF(((('Lucy Levene'!B30=$B30)*ISNUMBER('Lucy Levene'!C30)*(ABS('Lucy Levene'!C30-$C30)&lt;VisitHrs/24)+('Lucy Levene'!D30=$B30)*ISNUMBER('Lucy Levene'!E30)*(ABS('Lucy Levene'!E30-$C30)&lt;VisitHrs/24)+('Lucy Levene'!F30=$B30)*ISNUMBER('Lucy Levene'!G30)*(ABS('Lucy Levene'!G30-$C30)&lt;VisitHrs/24)+('Tom Bock'!B30=$B30)*ISNUMBER('Tom Bock'!C30)*(ABS('Tom Bock'!C30-$C30)&lt;VisitHrs/24)+('Tom Bock'!D30=$B30)*ISNUMBER('Tom Bock'!E30)*(ABS('Tom Bock'!E30-$C30)&lt;VisitHrs/24)+('Tom Bock'!F30=$B30)*ISNUMBER('Tom Bock'!G30)*(ABS('Tom Bock'!G30-$C30)&lt;VisitHrs/24)+(Jeremy!B30=$B30)*ISNUMBER(Jeremy!C30)*(ABS(Jeremy!C30-$C30)&lt;VisitHrs/24)+(Jeremy!D30=$B30)*ISNUMBER(Jeremy!E30)*(ABS(Jeremy!E30-$C30)&lt;VisitHrs/24)+(Jeremy!F30=$B30)*ISNUMBER(Jeremy!G30)*(ABS(Jeremy!G30-$C30)&lt;VisitHrs/24)+('Test Patient'!B30=$B30)*ISNUMBER('Test Patient'!C30)*(ABS('Test Patient'!C30-$C30)&lt;VisitHrs/24)+('Test Patient'!D30=$B30)*ISNUMBER('Test Patient'!E30)*(ABS('Test Patient'!E30-$C30)&lt;VisitHrs/24)+('Test Patient'!F30=$B30)*ISNUMBER('Test Patient'!G30)*(ABS('Test Patient'!G30-$C30)&lt;VisitHrs/24))-1)+('Anita Klesch'!$B30=$B30)*($C30&lt;DayEnd)*($C30+VisitHrs/24&gt;DayStart)+('Anita Klesch'!$C30=$B30)*((($C30+VisitHrs/24&gt;DayEnd)+($C30&lt;DayStart))&gt;0)+('Test Patient 2'!$B30=$B30)*($C30&lt;DayEnd)*($C30+VisitHrs/24&gt;DayStart)+('Test Patient 2'!$C30=$B30)*((($C30+VisitHrs/24&gt;DayEnd)+($C30&lt;DayStart))&gt;0)&gt;=1,1,0),0)</f>
        <v>0</v>
      </c>
      <c r="K30" s="12">
        <f>IF(AND($H30=1,$D30&lt;&gt;"",ISNUMBER($E30)),IF(((('Lucy Levene'!B30=$D30)*ISNUMBER('Lucy Levene'!C30)*(ABS('Lucy Levene'!C30-$E30)&lt;VisitHrs/24)+('Lucy Levene'!D30=$D30)*ISNUMBER('Lucy Levene'!E30)*(ABS('Lucy Levene'!E30-$E30)&lt;VisitHrs/24)+('Lucy Levene'!F30=$D30)*ISNUMBER('Lucy Levene'!G30)*(ABS('Lucy Levene'!G30-$E30)&lt;VisitHrs/24)+('Tom Bock'!B30=$D30)*ISNUMBER('Tom Bock'!C30)*(ABS('Tom Bock'!C30-$E30)&lt;VisitHrs/24)+('Tom Bock'!D30=$D30)*ISNUMBER('Tom Bock'!E30)*(ABS('Tom Bock'!E30-$E30)&lt;VisitHrs/24)+('Tom Bock'!F30=$D30)*ISNUMBER('Tom Bock'!G30)*(ABS('Tom Bock'!G30-$E30)&lt;VisitHrs/24)+(Jeremy!B30=$D30)*ISNUMBER(Jeremy!C30)*(ABS(Jeremy!C30-$E30)&lt;VisitHrs/24)+(Jeremy!D30=$D30)*ISNUMBER(Jeremy!E30)*(ABS(Jeremy!E30-$E30)&lt;VisitHrs/24)+(Jeremy!F30=$D30)*ISNUMBER(Jeremy!G30)*(ABS(Jeremy!G30-$E30)&lt;VisitHrs/24)+('Test Patient'!B30=$D30)*ISNUMBER('Test Patient'!C30)*(ABS('Test Patient'!C30-$E30)&lt;VisitHrs/24)+('Test Patient'!D30=$D30)*ISNUMBER('Test Patient'!E30)*(ABS('Test Patient'!E30-$E30)&lt;VisitHrs/24)+('Test Patient'!F30=$D30)*ISNUMBER('Test Patient'!G30)*(ABS('Test Patient'!G30-$E30)&lt;VisitHrs/24))-1)+('Anita Klesch'!$B30=$D30)*($E30&lt;DayEnd)*($E30+VisitHrs/24&gt;DayStart)+('Anita Klesch'!$C30=$D30)*((($E30+VisitHrs/24&gt;DayEnd)+($E30&lt;DayStart))&gt;0)+('Test Patient 2'!$B30=$D30)*($E30&lt;DayEnd)*($E30+VisitHrs/24&gt;DayStart)+('Test Patient 2'!$C30=$D30)*((($E30+VisitHrs/24&gt;DayEnd)+($E30&lt;DayStart))&gt;0)&gt;=1,1,0),0)</f>
        <v>0</v>
      </c>
      <c r="L30" s="12">
        <f>IF(AND($H30=1,$F30&lt;&gt;"",ISNUMBER($G30)),IF(((('Lucy Levene'!B30=$F30)*ISNUMBER('Lucy Levene'!C30)*(ABS('Lucy Levene'!C30-$G30)&lt;VisitHrs/24)+('Lucy Levene'!D30=$F30)*ISNUMBER('Lucy Levene'!E30)*(ABS('Lucy Levene'!E30-$G30)&lt;VisitHrs/24)+('Lucy Levene'!F30=$F30)*ISNUMBER('Lucy Levene'!G30)*(ABS('Lucy Levene'!G30-$G30)&lt;VisitHrs/24)+('Tom Bock'!B30=$F30)*ISNUMBER('Tom Bock'!C30)*(ABS('Tom Bock'!C30-$G30)&lt;VisitHrs/24)+('Tom Bock'!D30=$F30)*ISNUMBER('Tom Bock'!E30)*(ABS('Tom Bock'!E30-$G30)&lt;VisitHrs/24)+('Tom Bock'!F30=$F30)*ISNUMBER('Tom Bock'!G30)*(ABS('Tom Bock'!G30-$G30)&lt;VisitHrs/24)+(Jeremy!B30=$F30)*ISNUMBER(Jeremy!C30)*(ABS(Jeremy!C30-$G30)&lt;VisitHrs/24)+(Jeremy!D30=$F30)*ISNUMBER(Jeremy!E30)*(ABS(Jeremy!E30-$G30)&lt;VisitHrs/24)+(Jeremy!F30=$F30)*ISNUMBER(Jeremy!G30)*(ABS(Jeremy!G30-$G30)&lt;VisitHrs/24)+('Test Patient'!B30=$F30)*ISNUMBER('Test Patient'!C30)*(ABS('Test Patient'!C30-$G30)&lt;VisitHrs/24)+('Test Patient'!D30=$F30)*ISNUMBER('Test Patient'!E30)*(ABS('Test Patient'!E30-$G30)&lt;VisitHrs/24)+('Test Patient'!F30=$F30)*ISNUMBER('Test Patient'!G30)*(ABS('Test Patient'!G30-$G30)&lt;VisitHrs/24))-1)+('Anita Klesch'!$B30=$F30)*($G30&lt;DayEnd)*($G30+VisitHrs/24&gt;DayStart)+('Anita Klesch'!$C30=$F30)*((($G30+VisitHrs/24&gt;DayEnd)+($G30&lt;DayStart))&gt;0)+('Test Patient 2'!$B30=$F30)*($G30&lt;DayEnd)*($G30+VisitHrs/24&gt;DayStart)+('Test Patient 2'!$C30=$F30)*((($G30+VisitHrs/24&gt;DayEnd)+($G30&lt;DayStart))&gt;0)&gt;=1,1,0),0)</f>
        <v>0</v>
      </c>
      <c r="M30" s="12" t="str">
        <f t="shared" si="2"/>
        <v/>
      </c>
      <c r="N30" s="12" t="str">
        <f t="shared" si="3"/>
        <v/>
      </c>
      <c r="O30" s="12" t="str">
        <f t="shared" si="4"/>
        <v/>
      </c>
    </row>
    <row r="31" spans="1:15" x14ac:dyDescent="0.2">
      <c r="A31" s="2">
        <f t="shared" si="5"/>
        <v>46237</v>
      </c>
      <c r="B31" s="3"/>
      <c r="C31" s="24"/>
      <c r="D31" s="19"/>
      <c r="E31" s="25"/>
      <c r="F31" s="19"/>
      <c r="G31" s="25"/>
      <c r="H31" s="12">
        <f t="shared" si="0"/>
        <v>0</v>
      </c>
      <c r="I31" s="12">
        <f t="shared" si="1"/>
        <v>0</v>
      </c>
      <c r="J31" s="12">
        <f>IF(AND($H31=1,$B31&lt;&gt;"",ISNUMBER($C31)),IF(((('Lucy Levene'!B31=$B31)*ISNUMBER('Lucy Levene'!C31)*(ABS('Lucy Levene'!C31-$C31)&lt;VisitHrs/24)+('Lucy Levene'!D31=$B31)*ISNUMBER('Lucy Levene'!E31)*(ABS('Lucy Levene'!E31-$C31)&lt;VisitHrs/24)+('Lucy Levene'!F31=$B31)*ISNUMBER('Lucy Levene'!G31)*(ABS('Lucy Levene'!G31-$C31)&lt;VisitHrs/24)+('Tom Bock'!B31=$B31)*ISNUMBER('Tom Bock'!C31)*(ABS('Tom Bock'!C31-$C31)&lt;VisitHrs/24)+('Tom Bock'!D31=$B31)*ISNUMBER('Tom Bock'!E31)*(ABS('Tom Bock'!E31-$C31)&lt;VisitHrs/24)+('Tom Bock'!F31=$B31)*ISNUMBER('Tom Bock'!G31)*(ABS('Tom Bock'!G31-$C31)&lt;VisitHrs/24)+(Jeremy!B31=$B31)*ISNUMBER(Jeremy!C31)*(ABS(Jeremy!C31-$C31)&lt;VisitHrs/24)+(Jeremy!D31=$B31)*ISNUMBER(Jeremy!E31)*(ABS(Jeremy!E31-$C31)&lt;VisitHrs/24)+(Jeremy!F31=$B31)*ISNUMBER(Jeremy!G31)*(ABS(Jeremy!G31-$C31)&lt;VisitHrs/24)+('Test Patient'!B31=$B31)*ISNUMBER('Test Patient'!C31)*(ABS('Test Patient'!C31-$C31)&lt;VisitHrs/24)+('Test Patient'!D31=$B31)*ISNUMBER('Test Patient'!E31)*(ABS('Test Patient'!E31-$C31)&lt;VisitHrs/24)+('Test Patient'!F31=$B31)*ISNUMBER('Test Patient'!G31)*(ABS('Test Patient'!G31-$C31)&lt;VisitHrs/24))-1)+('Anita Klesch'!$B31=$B31)*($C31&lt;DayEnd)*($C31+VisitHrs/24&gt;DayStart)+('Anita Klesch'!$C31=$B31)*((($C31+VisitHrs/24&gt;DayEnd)+($C31&lt;DayStart))&gt;0)+('Test Patient 2'!$B31=$B31)*($C31&lt;DayEnd)*($C31+VisitHrs/24&gt;DayStart)+('Test Patient 2'!$C31=$B31)*((($C31+VisitHrs/24&gt;DayEnd)+($C31&lt;DayStart))&gt;0)&gt;=1,1,0),0)</f>
        <v>0</v>
      </c>
      <c r="K31" s="12">
        <f>IF(AND($H31=1,$D31&lt;&gt;"",ISNUMBER($E31)),IF(((('Lucy Levene'!B31=$D31)*ISNUMBER('Lucy Levene'!C31)*(ABS('Lucy Levene'!C31-$E31)&lt;VisitHrs/24)+('Lucy Levene'!D31=$D31)*ISNUMBER('Lucy Levene'!E31)*(ABS('Lucy Levene'!E31-$E31)&lt;VisitHrs/24)+('Lucy Levene'!F31=$D31)*ISNUMBER('Lucy Levene'!G31)*(ABS('Lucy Levene'!G31-$E31)&lt;VisitHrs/24)+('Tom Bock'!B31=$D31)*ISNUMBER('Tom Bock'!C31)*(ABS('Tom Bock'!C31-$E31)&lt;VisitHrs/24)+('Tom Bock'!D31=$D31)*ISNUMBER('Tom Bock'!E31)*(ABS('Tom Bock'!E31-$E31)&lt;VisitHrs/24)+('Tom Bock'!F31=$D31)*ISNUMBER('Tom Bock'!G31)*(ABS('Tom Bock'!G31-$E31)&lt;VisitHrs/24)+(Jeremy!B31=$D31)*ISNUMBER(Jeremy!C31)*(ABS(Jeremy!C31-$E31)&lt;VisitHrs/24)+(Jeremy!D31=$D31)*ISNUMBER(Jeremy!E31)*(ABS(Jeremy!E31-$E31)&lt;VisitHrs/24)+(Jeremy!F31=$D31)*ISNUMBER(Jeremy!G31)*(ABS(Jeremy!G31-$E31)&lt;VisitHrs/24)+('Test Patient'!B31=$D31)*ISNUMBER('Test Patient'!C31)*(ABS('Test Patient'!C31-$E31)&lt;VisitHrs/24)+('Test Patient'!D31=$D31)*ISNUMBER('Test Patient'!E31)*(ABS('Test Patient'!E31-$E31)&lt;VisitHrs/24)+('Test Patient'!F31=$D31)*ISNUMBER('Test Patient'!G31)*(ABS('Test Patient'!G31-$E31)&lt;VisitHrs/24))-1)+('Anita Klesch'!$B31=$D31)*($E31&lt;DayEnd)*($E31+VisitHrs/24&gt;DayStart)+('Anita Klesch'!$C31=$D31)*((($E31+VisitHrs/24&gt;DayEnd)+($E31&lt;DayStart))&gt;0)+('Test Patient 2'!$B31=$D31)*($E31&lt;DayEnd)*($E31+VisitHrs/24&gt;DayStart)+('Test Patient 2'!$C31=$D31)*((($E31+VisitHrs/24&gt;DayEnd)+($E31&lt;DayStart))&gt;0)&gt;=1,1,0),0)</f>
        <v>0</v>
      </c>
      <c r="L31" s="12">
        <f>IF(AND($H31=1,$F31&lt;&gt;"",ISNUMBER($G31)),IF(((('Lucy Levene'!B31=$F31)*ISNUMBER('Lucy Levene'!C31)*(ABS('Lucy Levene'!C31-$G31)&lt;VisitHrs/24)+('Lucy Levene'!D31=$F31)*ISNUMBER('Lucy Levene'!E31)*(ABS('Lucy Levene'!E31-$G31)&lt;VisitHrs/24)+('Lucy Levene'!F31=$F31)*ISNUMBER('Lucy Levene'!G31)*(ABS('Lucy Levene'!G31-$G31)&lt;VisitHrs/24)+('Tom Bock'!B31=$F31)*ISNUMBER('Tom Bock'!C31)*(ABS('Tom Bock'!C31-$G31)&lt;VisitHrs/24)+('Tom Bock'!D31=$F31)*ISNUMBER('Tom Bock'!E31)*(ABS('Tom Bock'!E31-$G31)&lt;VisitHrs/24)+('Tom Bock'!F31=$F31)*ISNUMBER('Tom Bock'!G31)*(ABS('Tom Bock'!G31-$G31)&lt;VisitHrs/24)+(Jeremy!B31=$F31)*ISNUMBER(Jeremy!C31)*(ABS(Jeremy!C31-$G31)&lt;VisitHrs/24)+(Jeremy!D31=$F31)*ISNUMBER(Jeremy!E31)*(ABS(Jeremy!E31-$G31)&lt;VisitHrs/24)+(Jeremy!F31=$F31)*ISNUMBER(Jeremy!G31)*(ABS(Jeremy!G31-$G31)&lt;VisitHrs/24)+('Test Patient'!B31=$F31)*ISNUMBER('Test Patient'!C31)*(ABS('Test Patient'!C31-$G31)&lt;VisitHrs/24)+('Test Patient'!D31=$F31)*ISNUMBER('Test Patient'!E31)*(ABS('Test Patient'!E31-$G31)&lt;VisitHrs/24)+('Test Patient'!F31=$F31)*ISNUMBER('Test Patient'!G31)*(ABS('Test Patient'!G31-$G31)&lt;VisitHrs/24))-1)+('Anita Klesch'!$B31=$F31)*($G31&lt;DayEnd)*($G31+VisitHrs/24&gt;DayStart)+('Anita Klesch'!$C31=$F31)*((($G31+VisitHrs/24&gt;DayEnd)+($G31&lt;DayStart))&gt;0)+('Test Patient 2'!$B31=$F31)*($G31&lt;DayEnd)*($G31+VisitHrs/24&gt;DayStart)+('Test Patient 2'!$C31=$F31)*((($G31+VisitHrs/24&gt;DayEnd)+($G31&lt;DayStart))&gt;0)&gt;=1,1,0),0)</f>
        <v>0</v>
      </c>
      <c r="M31" s="12" t="str">
        <f t="shared" si="2"/>
        <v/>
      </c>
      <c r="N31" s="12" t="str">
        <f t="shared" si="3"/>
        <v/>
      </c>
      <c r="O31" s="12" t="str">
        <f t="shared" si="4"/>
        <v/>
      </c>
    </row>
    <row r="32" spans="1:15" x14ac:dyDescent="0.2">
      <c r="A32" s="2">
        <f t="shared" si="5"/>
        <v>46238</v>
      </c>
      <c r="B32" s="3"/>
      <c r="C32" s="24"/>
      <c r="D32" s="19"/>
      <c r="E32" s="25"/>
      <c r="F32" s="19"/>
      <c r="G32" s="25"/>
      <c r="H32" s="12">
        <f t="shared" si="0"/>
        <v>0</v>
      </c>
      <c r="I32" s="12">
        <f t="shared" si="1"/>
        <v>0</v>
      </c>
      <c r="J32" s="12">
        <f>IF(AND($H32=1,$B32&lt;&gt;"",ISNUMBER($C32)),IF(((('Lucy Levene'!B32=$B32)*ISNUMBER('Lucy Levene'!C32)*(ABS('Lucy Levene'!C32-$C32)&lt;VisitHrs/24)+('Lucy Levene'!D32=$B32)*ISNUMBER('Lucy Levene'!E32)*(ABS('Lucy Levene'!E32-$C32)&lt;VisitHrs/24)+('Lucy Levene'!F32=$B32)*ISNUMBER('Lucy Levene'!G32)*(ABS('Lucy Levene'!G32-$C32)&lt;VisitHrs/24)+('Tom Bock'!B32=$B32)*ISNUMBER('Tom Bock'!C32)*(ABS('Tom Bock'!C32-$C32)&lt;VisitHrs/24)+('Tom Bock'!D32=$B32)*ISNUMBER('Tom Bock'!E32)*(ABS('Tom Bock'!E32-$C32)&lt;VisitHrs/24)+('Tom Bock'!F32=$B32)*ISNUMBER('Tom Bock'!G32)*(ABS('Tom Bock'!G32-$C32)&lt;VisitHrs/24)+(Jeremy!B32=$B32)*ISNUMBER(Jeremy!C32)*(ABS(Jeremy!C32-$C32)&lt;VisitHrs/24)+(Jeremy!D32=$B32)*ISNUMBER(Jeremy!E32)*(ABS(Jeremy!E32-$C32)&lt;VisitHrs/24)+(Jeremy!F32=$B32)*ISNUMBER(Jeremy!G32)*(ABS(Jeremy!G32-$C32)&lt;VisitHrs/24)+('Test Patient'!B32=$B32)*ISNUMBER('Test Patient'!C32)*(ABS('Test Patient'!C32-$C32)&lt;VisitHrs/24)+('Test Patient'!D32=$B32)*ISNUMBER('Test Patient'!E32)*(ABS('Test Patient'!E32-$C32)&lt;VisitHrs/24)+('Test Patient'!F32=$B32)*ISNUMBER('Test Patient'!G32)*(ABS('Test Patient'!G32-$C32)&lt;VisitHrs/24))-1)+('Anita Klesch'!$B32=$B32)*($C32&lt;DayEnd)*($C32+VisitHrs/24&gt;DayStart)+('Anita Klesch'!$C32=$B32)*((($C32+VisitHrs/24&gt;DayEnd)+($C32&lt;DayStart))&gt;0)+('Test Patient 2'!$B32=$B32)*($C32&lt;DayEnd)*($C32+VisitHrs/24&gt;DayStart)+('Test Patient 2'!$C32=$B32)*((($C32+VisitHrs/24&gt;DayEnd)+($C32&lt;DayStart))&gt;0)&gt;=1,1,0),0)</f>
        <v>0</v>
      </c>
      <c r="K32" s="12">
        <f>IF(AND($H32=1,$D32&lt;&gt;"",ISNUMBER($E32)),IF(((('Lucy Levene'!B32=$D32)*ISNUMBER('Lucy Levene'!C32)*(ABS('Lucy Levene'!C32-$E32)&lt;VisitHrs/24)+('Lucy Levene'!D32=$D32)*ISNUMBER('Lucy Levene'!E32)*(ABS('Lucy Levene'!E32-$E32)&lt;VisitHrs/24)+('Lucy Levene'!F32=$D32)*ISNUMBER('Lucy Levene'!G32)*(ABS('Lucy Levene'!G32-$E32)&lt;VisitHrs/24)+('Tom Bock'!B32=$D32)*ISNUMBER('Tom Bock'!C32)*(ABS('Tom Bock'!C32-$E32)&lt;VisitHrs/24)+('Tom Bock'!D32=$D32)*ISNUMBER('Tom Bock'!E32)*(ABS('Tom Bock'!E32-$E32)&lt;VisitHrs/24)+('Tom Bock'!F32=$D32)*ISNUMBER('Tom Bock'!G32)*(ABS('Tom Bock'!G32-$E32)&lt;VisitHrs/24)+(Jeremy!B32=$D32)*ISNUMBER(Jeremy!C32)*(ABS(Jeremy!C32-$E32)&lt;VisitHrs/24)+(Jeremy!D32=$D32)*ISNUMBER(Jeremy!E32)*(ABS(Jeremy!E32-$E32)&lt;VisitHrs/24)+(Jeremy!F32=$D32)*ISNUMBER(Jeremy!G32)*(ABS(Jeremy!G32-$E32)&lt;VisitHrs/24)+('Test Patient'!B32=$D32)*ISNUMBER('Test Patient'!C32)*(ABS('Test Patient'!C32-$E32)&lt;VisitHrs/24)+('Test Patient'!D32=$D32)*ISNUMBER('Test Patient'!E32)*(ABS('Test Patient'!E32-$E32)&lt;VisitHrs/24)+('Test Patient'!F32=$D32)*ISNUMBER('Test Patient'!G32)*(ABS('Test Patient'!G32-$E32)&lt;VisitHrs/24))-1)+('Anita Klesch'!$B32=$D32)*($E32&lt;DayEnd)*($E32+VisitHrs/24&gt;DayStart)+('Anita Klesch'!$C32=$D32)*((($E32+VisitHrs/24&gt;DayEnd)+($E32&lt;DayStart))&gt;0)+('Test Patient 2'!$B32=$D32)*($E32&lt;DayEnd)*($E32+VisitHrs/24&gt;DayStart)+('Test Patient 2'!$C32=$D32)*((($E32+VisitHrs/24&gt;DayEnd)+($E32&lt;DayStart))&gt;0)&gt;=1,1,0),0)</f>
        <v>0</v>
      </c>
      <c r="L32" s="12">
        <f>IF(AND($H32=1,$F32&lt;&gt;"",ISNUMBER($G32)),IF(((('Lucy Levene'!B32=$F32)*ISNUMBER('Lucy Levene'!C32)*(ABS('Lucy Levene'!C32-$G32)&lt;VisitHrs/24)+('Lucy Levene'!D32=$F32)*ISNUMBER('Lucy Levene'!E32)*(ABS('Lucy Levene'!E32-$G32)&lt;VisitHrs/24)+('Lucy Levene'!F32=$F32)*ISNUMBER('Lucy Levene'!G32)*(ABS('Lucy Levene'!G32-$G32)&lt;VisitHrs/24)+('Tom Bock'!B32=$F32)*ISNUMBER('Tom Bock'!C32)*(ABS('Tom Bock'!C32-$G32)&lt;VisitHrs/24)+('Tom Bock'!D32=$F32)*ISNUMBER('Tom Bock'!E32)*(ABS('Tom Bock'!E32-$G32)&lt;VisitHrs/24)+('Tom Bock'!F32=$F32)*ISNUMBER('Tom Bock'!G32)*(ABS('Tom Bock'!G32-$G32)&lt;VisitHrs/24)+(Jeremy!B32=$F32)*ISNUMBER(Jeremy!C32)*(ABS(Jeremy!C32-$G32)&lt;VisitHrs/24)+(Jeremy!D32=$F32)*ISNUMBER(Jeremy!E32)*(ABS(Jeremy!E32-$G32)&lt;VisitHrs/24)+(Jeremy!F32=$F32)*ISNUMBER(Jeremy!G32)*(ABS(Jeremy!G32-$G32)&lt;VisitHrs/24)+('Test Patient'!B32=$F32)*ISNUMBER('Test Patient'!C32)*(ABS('Test Patient'!C32-$G32)&lt;VisitHrs/24)+('Test Patient'!D32=$F32)*ISNUMBER('Test Patient'!E32)*(ABS('Test Patient'!E32-$G32)&lt;VisitHrs/24)+('Test Patient'!F32=$F32)*ISNUMBER('Test Patient'!G32)*(ABS('Test Patient'!G32-$G32)&lt;VisitHrs/24))-1)+('Anita Klesch'!$B32=$F32)*($G32&lt;DayEnd)*($G32+VisitHrs/24&gt;DayStart)+('Anita Klesch'!$C32=$F32)*((($G32+VisitHrs/24&gt;DayEnd)+($G32&lt;DayStart))&gt;0)+('Test Patient 2'!$B32=$F32)*($G32&lt;DayEnd)*($G32+VisitHrs/24&gt;DayStart)+('Test Patient 2'!$C32=$F32)*((($G32+VisitHrs/24&gt;DayEnd)+($G32&lt;DayStart))&gt;0)&gt;=1,1,0),0)</f>
        <v>0</v>
      </c>
      <c r="M32" s="12" t="str">
        <f t="shared" si="2"/>
        <v/>
      </c>
      <c r="N32" s="12" t="str">
        <f t="shared" si="3"/>
        <v/>
      </c>
      <c r="O32" s="12" t="str">
        <f t="shared" si="4"/>
        <v/>
      </c>
    </row>
    <row r="33" spans="1:15" x14ac:dyDescent="0.2">
      <c r="A33" s="2">
        <f t="shared" si="5"/>
        <v>46239</v>
      </c>
      <c r="B33" s="3"/>
      <c r="C33" s="24"/>
      <c r="D33" s="19"/>
      <c r="E33" s="25"/>
      <c r="F33" s="19"/>
      <c r="G33" s="25"/>
      <c r="H33" s="12">
        <f t="shared" si="0"/>
        <v>0</v>
      </c>
      <c r="I33" s="12">
        <f t="shared" si="1"/>
        <v>0</v>
      </c>
      <c r="J33" s="12">
        <f>IF(AND($H33=1,$B33&lt;&gt;"",ISNUMBER($C33)),IF(((('Lucy Levene'!B33=$B33)*ISNUMBER('Lucy Levene'!C33)*(ABS('Lucy Levene'!C33-$C33)&lt;VisitHrs/24)+('Lucy Levene'!D33=$B33)*ISNUMBER('Lucy Levene'!E33)*(ABS('Lucy Levene'!E33-$C33)&lt;VisitHrs/24)+('Lucy Levene'!F33=$B33)*ISNUMBER('Lucy Levene'!G33)*(ABS('Lucy Levene'!G33-$C33)&lt;VisitHrs/24)+('Tom Bock'!B33=$B33)*ISNUMBER('Tom Bock'!C33)*(ABS('Tom Bock'!C33-$C33)&lt;VisitHrs/24)+('Tom Bock'!D33=$B33)*ISNUMBER('Tom Bock'!E33)*(ABS('Tom Bock'!E33-$C33)&lt;VisitHrs/24)+('Tom Bock'!F33=$B33)*ISNUMBER('Tom Bock'!G33)*(ABS('Tom Bock'!G33-$C33)&lt;VisitHrs/24)+(Jeremy!B33=$B33)*ISNUMBER(Jeremy!C33)*(ABS(Jeremy!C33-$C33)&lt;VisitHrs/24)+(Jeremy!D33=$B33)*ISNUMBER(Jeremy!E33)*(ABS(Jeremy!E33-$C33)&lt;VisitHrs/24)+(Jeremy!F33=$B33)*ISNUMBER(Jeremy!G33)*(ABS(Jeremy!G33-$C33)&lt;VisitHrs/24)+('Test Patient'!B33=$B33)*ISNUMBER('Test Patient'!C33)*(ABS('Test Patient'!C33-$C33)&lt;VisitHrs/24)+('Test Patient'!D33=$B33)*ISNUMBER('Test Patient'!E33)*(ABS('Test Patient'!E33-$C33)&lt;VisitHrs/24)+('Test Patient'!F33=$B33)*ISNUMBER('Test Patient'!G33)*(ABS('Test Patient'!G33-$C33)&lt;VisitHrs/24))-1)+('Anita Klesch'!$B33=$B33)*($C33&lt;DayEnd)*($C33+VisitHrs/24&gt;DayStart)+('Anita Klesch'!$C33=$B33)*((($C33+VisitHrs/24&gt;DayEnd)+($C33&lt;DayStart))&gt;0)+('Test Patient 2'!$B33=$B33)*($C33&lt;DayEnd)*($C33+VisitHrs/24&gt;DayStart)+('Test Patient 2'!$C33=$B33)*((($C33+VisitHrs/24&gt;DayEnd)+($C33&lt;DayStart))&gt;0)&gt;=1,1,0),0)</f>
        <v>0</v>
      </c>
      <c r="K33" s="12">
        <f>IF(AND($H33=1,$D33&lt;&gt;"",ISNUMBER($E33)),IF(((('Lucy Levene'!B33=$D33)*ISNUMBER('Lucy Levene'!C33)*(ABS('Lucy Levene'!C33-$E33)&lt;VisitHrs/24)+('Lucy Levene'!D33=$D33)*ISNUMBER('Lucy Levene'!E33)*(ABS('Lucy Levene'!E33-$E33)&lt;VisitHrs/24)+('Lucy Levene'!F33=$D33)*ISNUMBER('Lucy Levene'!G33)*(ABS('Lucy Levene'!G33-$E33)&lt;VisitHrs/24)+('Tom Bock'!B33=$D33)*ISNUMBER('Tom Bock'!C33)*(ABS('Tom Bock'!C33-$E33)&lt;VisitHrs/24)+('Tom Bock'!D33=$D33)*ISNUMBER('Tom Bock'!E33)*(ABS('Tom Bock'!E33-$E33)&lt;VisitHrs/24)+('Tom Bock'!F33=$D33)*ISNUMBER('Tom Bock'!G33)*(ABS('Tom Bock'!G33-$E33)&lt;VisitHrs/24)+(Jeremy!B33=$D33)*ISNUMBER(Jeremy!C33)*(ABS(Jeremy!C33-$E33)&lt;VisitHrs/24)+(Jeremy!D33=$D33)*ISNUMBER(Jeremy!E33)*(ABS(Jeremy!E33-$E33)&lt;VisitHrs/24)+(Jeremy!F33=$D33)*ISNUMBER(Jeremy!G33)*(ABS(Jeremy!G33-$E33)&lt;VisitHrs/24)+('Test Patient'!B33=$D33)*ISNUMBER('Test Patient'!C33)*(ABS('Test Patient'!C33-$E33)&lt;VisitHrs/24)+('Test Patient'!D33=$D33)*ISNUMBER('Test Patient'!E33)*(ABS('Test Patient'!E33-$E33)&lt;VisitHrs/24)+('Test Patient'!F33=$D33)*ISNUMBER('Test Patient'!G33)*(ABS('Test Patient'!G33-$E33)&lt;VisitHrs/24))-1)+('Anita Klesch'!$B33=$D33)*($E33&lt;DayEnd)*($E33+VisitHrs/24&gt;DayStart)+('Anita Klesch'!$C33=$D33)*((($E33+VisitHrs/24&gt;DayEnd)+($E33&lt;DayStart))&gt;0)+('Test Patient 2'!$B33=$D33)*($E33&lt;DayEnd)*($E33+VisitHrs/24&gt;DayStart)+('Test Patient 2'!$C33=$D33)*((($E33+VisitHrs/24&gt;DayEnd)+($E33&lt;DayStart))&gt;0)&gt;=1,1,0),0)</f>
        <v>0</v>
      </c>
      <c r="L33" s="12">
        <f>IF(AND($H33=1,$F33&lt;&gt;"",ISNUMBER($G33)),IF(((('Lucy Levene'!B33=$F33)*ISNUMBER('Lucy Levene'!C33)*(ABS('Lucy Levene'!C33-$G33)&lt;VisitHrs/24)+('Lucy Levene'!D33=$F33)*ISNUMBER('Lucy Levene'!E33)*(ABS('Lucy Levene'!E33-$G33)&lt;VisitHrs/24)+('Lucy Levene'!F33=$F33)*ISNUMBER('Lucy Levene'!G33)*(ABS('Lucy Levene'!G33-$G33)&lt;VisitHrs/24)+('Tom Bock'!B33=$F33)*ISNUMBER('Tom Bock'!C33)*(ABS('Tom Bock'!C33-$G33)&lt;VisitHrs/24)+('Tom Bock'!D33=$F33)*ISNUMBER('Tom Bock'!E33)*(ABS('Tom Bock'!E33-$G33)&lt;VisitHrs/24)+('Tom Bock'!F33=$F33)*ISNUMBER('Tom Bock'!G33)*(ABS('Tom Bock'!G33-$G33)&lt;VisitHrs/24)+(Jeremy!B33=$F33)*ISNUMBER(Jeremy!C33)*(ABS(Jeremy!C33-$G33)&lt;VisitHrs/24)+(Jeremy!D33=$F33)*ISNUMBER(Jeremy!E33)*(ABS(Jeremy!E33-$G33)&lt;VisitHrs/24)+(Jeremy!F33=$F33)*ISNUMBER(Jeremy!G33)*(ABS(Jeremy!G33-$G33)&lt;VisitHrs/24)+('Test Patient'!B33=$F33)*ISNUMBER('Test Patient'!C33)*(ABS('Test Patient'!C33-$G33)&lt;VisitHrs/24)+('Test Patient'!D33=$F33)*ISNUMBER('Test Patient'!E33)*(ABS('Test Patient'!E33-$G33)&lt;VisitHrs/24)+('Test Patient'!F33=$F33)*ISNUMBER('Test Patient'!G33)*(ABS('Test Patient'!G33-$G33)&lt;VisitHrs/24))-1)+('Anita Klesch'!$B33=$F33)*($G33&lt;DayEnd)*($G33+VisitHrs/24&gt;DayStart)+('Anita Klesch'!$C33=$F33)*((($G33+VisitHrs/24&gt;DayEnd)+($G33&lt;DayStart))&gt;0)+('Test Patient 2'!$B33=$F33)*($G33&lt;DayEnd)*($G33+VisitHrs/24&gt;DayStart)+('Test Patient 2'!$C33=$F33)*((($G33+VisitHrs/24&gt;DayEnd)+($G33&lt;DayStart))&gt;0)&gt;=1,1,0),0)</f>
        <v>0</v>
      </c>
      <c r="M33" s="12" t="str">
        <f t="shared" si="2"/>
        <v/>
      </c>
      <c r="N33" s="12" t="str">
        <f t="shared" si="3"/>
        <v/>
      </c>
      <c r="O33" s="12" t="str">
        <f t="shared" si="4"/>
        <v/>
      </c>
    </row>
    <row r="34" spans="1:15" x14ac:dyDescent="0.2">
      <c r="A34" s="2">
        <f t="shared" si="5"/>
        <v>46240</v>
      </c>
      <c r="B34" s="3"/>
      <c r="C34" s="24"/>
      <c r="D34" s="19"/>
      <c r="E34" s="25"/>
      <c r="F34" s="19"/>
      <c r="G34" s="25"/>
      <c r="H34" s="12">
        <f t="shared" si="0"/>
        <v>0</v>
      </c>
      <c r="I34" s="12">
        <f t="shared" si="1"/>
        <v>0</v>
      </c>
      <c r="J34" s="12">
        <f>IF(AND($H34=1,$B34&lt;&gt;"",ISNUMBER($C34)),IF(((('Lucy Levene'!B34=$B34)*ISNUMBER('Lucy Levene'!C34)*(ABS('Lucy Levene'!C34-$C34)&lt;VisitHrs/24)+('Lucy Levene'!D34=$B34)*ISNUMBER('Lucy Levene'!E34)*(ABS('Lucy Levene'!E34-$C34)&lt;VisitHrs/24)+('Lucy Levene'!F34=$B34)*ISNUMBER('Lucy Levene'!G34)*(ABS('Lucy Levene'!G34-$C34)&lt;VisitHrs/24)+('Tom Bock'!B34=$B34)*ISNUMBER('Tom Bock'!C34)*(ABS('Tom Bock'!C34-$C34)&lt;VisitHrs/24)+('Tom Bock'!D34=$B34)*ISNUMBER('Tom Bock'!E34)*(ABS('Tom Bock'!E34-$C34)&lt;VisitHrs/24)+('Tom Bock'!F34=$B34)*ISNUMBER('Tom Bock'!G34)*(ABS('Tom Bock'!G34-$C34)&lt;VisitHrs/24)+(Jeremy!B34=$B34)*ISNUMBER(Jeremy!C34)*(ABS(Jeremy!C34-$C34)&lt;VisitHrs/24)+(Jeremy!D34=$B34)*ISNUMBER(Jeremy!E34)*(ABS(Jeremy!E34-$C34)&lt;VisitHrs/24)+(Jeremy!F34=$B34)*ISNUMBER(Jeremy!G34)*(ABS(Jeremy!G34-$C34)&lt;VisitHrs/24)+('Test Patient'!B34=$B34)*ISNUMBER('Test Patient'!C34)*(ABS('Test Patient'!C34-$C34)&lt;VisitHrs/24)+('Test Patient'!D34=$B34)*ISNUMBER('Test Patient'!E34)*(ABS('Test Patient'!E34-$C34)&lt;VisitHrs/24)+('Test Patient'!F34=$B34)*ISNUMBER('Test Patient'!G34)*(ABS('Test Patient'!G34-$C34)&lt;VisitHrs/24))-1)+('Anita Klesch'!$B34=$B34)*($C34&lt;DayEnd)*($C34+VisitHrs/24&gt;DayStart)+('Anita Klesch'!$C34=$B34)*((($C34+VisitHrs/24&gt;DayEnd)+($C34&lt;DayStart))&gt;0)+('Test Patient 2'!$B34=$B34)*($C34&lt;DayEnd)*($C34+VisitHrs/24&gt;DayStart)+('Test Patient 2'!$C34=$B34)*((($C34+VisitHrs/24&gt;DayEnd)+($C34&lt;DayStart))&gt;0)&gt;=1,1,0),0)</f>
        <v>0</v>
      </c>
      <c r="K34" s="12">
        <f>IF(AND($H34=1,$D34&lt;&gt;"",ISNUMBER($E34)),IF(((('Lucy Levene'!B34=$D34)*ISNUMBER('Lucy Levene'!C34)*(ABS('Lucy Levene'!C34-$E34)&lt;VisitHrs/24)+('Lucy Levene'!D34=$D34)*ISNUMBER('Lucy Levene'!E34)*(ABS('Lucy Levene'!E34-$E34)&lt;VisitHrs/24)+('Lucy Levene'!F34=$D34)*ISNUMBER('Lucy Levene'!G34)*(ABS('Lucy Levene'!G34-$E34)&lt;VisitHrs/24)+('Tom Bock'!B34=$D34)*ISNUMBER('Tom Bock'!C34)*(ABS('Tom Bock'!C34-$E34)&lt;VisitHrs/24)+('Tom Bock'!D34=$D34)*ISNUMBER('Tom Bock'!E34)*(ABS('Tom Bock'!E34-$E34)&lt;VisitHrs/24)+('Tom Bock'!F34=$D34)*ISNUMBER('Tom Bock'!G34)*(ABS('Tom Bock'!G34-$E34)&lt;VisitHrs/24)+(Jeremy!B34=$D34)*ISNUMBER(Jeremy!C34)*(ABS(Jeremy!C34-$E34)&lt;VisitHrs/24)+(Jeremy!D34=$D34)*ISNUMBER(Jeremy!E34)*(ABS(Jeremy!E34-$E34)&lt;VisitHrs/24)+(Jeremy!F34=$D34)*ISNUMBER(Jeremy!G34)*(ABS(Jeremy!G34-$E34)&lt;VisitHrs/24)+('Test Patient'!B34=$D34)*ISNUMBER('Test Patient'!C34)*(ABS('Test Patient'!C34-$E34)&lt;VisitHrs/24)+('Test Patient'!D34=$D34)*ISNUMBER('Test Patient'!E34)*(ABS('Test Patient'!E34-$E34)&lt;VisitHrs/24)+('Test Patient'!F34=$D34)*ISNUMBER('Test Patient'!G34)*(ABS('Test Patient'!G34-$E34)&lt;VisitHrs/24))-1)+('Anita Klesch'!$B34=$D34)*($E34&lt;DayEnd)*($E34+VisitHrs/24&gt;DayStart)+('Anita Klesch'!$C34=$D34)*((($E34+VisitHrs/24&gt;DayEnd)+($E34&lt;DayStart))&gt;0)+('Test Patient 2'!$B34=$D34)*($E34&lt;DayEnd)*($E34+VisitHrs/24&gt;DayStart)+('Test Patient 2'!$C34=$D34)*((($E34+VisitHrs/24&gt;DayEnd)+($E34&lt;DayStart))&gt;0)&gt;=1,1,0),0)</f>
        <v>0</v>
      </c>
      <c r="L34" s="12">
        <f>IF(AND($H34=1,$F34&lt;&gt;"",ISNUMBER($G34)),IF(((('Lucy Levene'!B34=$F34)*ISNUMBER('Lucy Levene'!C34)*(ABS('Lucy Levene'!C34-$G34)&lt;VisitHrs/24)+('Lucy Levene'!D34=$F34)*ISNUMBER('Lucy Levene'!E34)*(ABS('Lucy Levene'!E34-$G34)&lt;VisitHrs/24)+('Lucy Levene'!F34=$F34)*ISNUMBER('Lucy Levene'!G34)*(ABS('Lucy Levene'!G34-$G34)&lt;VisitHrs/24)+('Tom Bock'!B34=$F34)*ISNUMBER('Tom Bock'!C34)*(ABS('Tom Bock'!C34-$G34)&lt;VisitHrs/24)+('Tom Bock'!D34=$F34)*ISNUMBER('Tom Bock'!E34)*(ABS('Tom Bock'!E34-$G34)&lt;VisitHrs/24)+('Tom Bock'!F34=$F34)*ISNUMBER('Tom Bock'!G34)*(ABS('Tom Bock'!G34-$G34)&lt;VisitHrs/24)+(Jeremy!B34=$F34)*ISNUMBER(Jeremy!C34)*(ABS(Jeremy!C34-$G34)&lt;VisitHrs/24)+(Jeremy!D34=$F34)*ISNUMBER(Jeremy!E34)*(ABS(Jeremy!E34-$G34)&lt;VisitHrs/24)+(Jeremy!F34=$F34)*ISNUMBER(Jeremy!G34)*(ABS(Jeremy!G34-$G34)&lt;VisitHrs/24)+('Test Patient'!B34=$F34)*ISNUMBER('Test Patient'!C34)*(ABS('Test Patient'!C34-$G34)&lt;VisitHrs/24)+('Test Patient'!D34=$F34)*ISNUMBER('Test Patient'!E34)*(ABS('Test Patient'!E34-$G34)&lt;VisitHrs/24)+('Test Patient'!F34=$F34)*ISNUMBER('Test Patient'!G34)*(ABS('Test Patient'!G34-$G34)&lt;VisitHrs/24))-1)+('Anita Klesch'!$B34=$F34)*($G34&lt;DayEnd)*($G34+VisitHrs/24&gt;DayStart)+('Anita Klesch'!$C34=$F34)*((($G34+VisitHrs/24&gt;DayEnd)+($G34&lt;DayStart))&gt;0)+('Test Patient 2'!$B34=$F34)*($G34&lt;DayEnd)*($G34+VisitHrs/24&gt;DayStart)+('Test Patient 2'!$C34=$F34)*((($G34+VisitHrs/24&gt;DayEnd)+($G34&lt;DayStart))&gt;0)&gt;=1,1,0),0)</f>
        <v>0</v>
      </c>
      <c r="M34" s="12" t="str">
        <f t="shared" si="2"/>
        <v/>
      </c>
      <c r="N34" s="12" t="str">
        <f t="shared" si="3"/>
        <v/>
      </c>
      <c r="O34" s="12" t="str">
        <f t="shared" si="4"/>
        <v/>
      </c>
    </row>
    <row r="35" spans="1:15" x14ac:dyDescent="0.2">
      <c r="A35" s="2">
        <f t="shared" si="5"/>
        <v>46241</v>
      </c>
      <c r="B35" s="3"/>
      <c r="C35" s="24"/>
      <c r="D35" s="19"/>
      <c r="E35" s="25"/>
      <c r="F35" s="19"/>
      <c r="G35" s="25"/>
      <c r="H35" s="12">
        <f t="shared" si="0"/>
        <v>0</v>
      </c>
      <c r="I35" s="12">
        <f t="shared" si="1"/>
        <v>0</v>
      </c>
      <c r="J35" s="12">
        <f>IF(AND($H35=1,$B35&lt;&gt;"",ISNUMBER($C35)),IF(((('Lucy Levene'!B35=$B35)*ISNUMBER('Lucy Levene'!C35)*(ABS('Lucy Levene'!C35-$C35)&lt;VisitHrs/24)+('Lucy Levene'!D35=$B35)*ISNUMBER('Lucy Levene'!E35)*(ABS('Lucy Levene'!E35-$C35)&lt;VisitHrs/24)+('Lucy Levene'!F35=$B35)*ISNUMBER('Lucy Levene'!G35)*(ABS('Lucy Levene'!G35-$C35)&lt;VisitHrs/24)+('Tom Bock'!B35=$B35)*ISNUMBER('Tom Bock'!C35)*(ABS('Tom Bock'!C35-$C35)&lt;VisitHrs/24)+('Tom Bock'!D35=$B35)*ISNUMBER('Tom Bock'!E35)*(ABS('Tom Bock'!E35-$C35)&lt;VisitHrs/24)+('Tom Bock'!F35=$B35)*ISNUMBER('Tom Bock'!G35)*(ABS('Tom Bock'!G35-$C35)&lt;VisitHrs/24)+(Jeremy!B35=$B35)*ISNUMBER(Jeremy!C35)*(ABS(Jeremy!C35-$C35)&lt;VisitHrs/24)+(Jeremy!D35=$B35)*ISNUMBER(Jeremy!E35)*(ABS(Jeremy!E35-$C35)&lt;VisitHrs/24)+(Jeremy!F35=$B35)*ISNUMBER(Jeremy!G35)*(ABS(Jeremy!G35-$C35)&lt;VisitHrs/24)+('Test Patient'!B35=$B35)*ISNUMBER('Test Patient'!C35)*(ABS('Test Patient'!C35-$C35)&lt;VisitHrs/24)+('Test Patient'!D35=$B35)*ISNUMBER('Test Patient'!E35)*(ABS('Test Patient'!E35-$C35)&lt;VisitHrs/24)+('Test Patient'!F35=$B35)*ISNUMBER('Test Patient'!G35)*(ABS('Test Patient'!G35-$C35)&lt;VisitHrs/24))-1)+('Anita Klesch'!$B35=$B35)*($C35&lt;DayEnd)*($C35+VisitHrs/24&gt;DayStart)+('Anita Klesch'!$C35=$B35)*((($C35+VisitHrs/24&gt;DayEnd)+($C35&lt;DayStart))&gt;0)+('Test Patient 2'!$B35=$B35)*($C35&lt;DayEnd)*($C35+VisitHrs/24&gt;DayStart)+('Test Patient 2'!$C35=$B35)*((($C35+VisitHrs/24&gt;DayEnd)+($C35&lt;DayStart))&gt;0)&gt;=1,1,0),0)</f>
        <v>0</v>
      </c>
      <c r="K35" s="12">
        <f>IF(AND($H35=1,$D35&lt;&gt;"",ISNUMBER($E35)),IF(((('Lucy Levene'!B35=$D35)*ISNUMBER('Lucy Levene'!C35)*(ABS('Lucy Levene'!C35-$E35)&lt;VisitHrs/24)+('Lucy Levene'!D35=$D35)*ISNUMBER('Lucy Levene'!E35)*(ABS('Lucy Levene'!E35-$E35)&lt;VisitHrs/24)+('Lucy Levene'!F35=$D35)*ISNUMBER('Lucy Levene'!G35)*(ABS('Lucy Levene'!G35-$E35)&lt;VisitHrs/24)+('Tom Bock'!B35=$D35)*ISNUMBER('Tom Bock'!C35)*(ABS('Tom Bock'!C35-$E35)&lt;VisitHrs/24)+('Tom Bock'!D35=$D35)*ISNUMBER('Tom Bock'!E35)*(ABS('Tom Bock'!E35-$E35)&lt;VisitHrs/24)+('Tom Bock'!F35=$D35)*ISNUMBER('Tom Bock'!G35)*(ABS('Tom Bock'!G35-$E35)&lt;VisitHrs/24)+(Jeremy!B35=$D35)*ISNUMBER(Jeremy!C35)*(ABS(Jeremy!C35-$E35)&lt;VisitHrs/24)+(Jeremy!D35=$D35)*ISNUMBER(Jeremy!E35)*(ABS(Jeremy!E35-$E35)&lt;VisitHrs/24)+(Jeremy!F35=$D35)*ISNUMBER(Jeremy!G35)*(ABS(Jeremy!G35-$E35)&lt;VisitHrs/24)+('Test Patient'!B35=$D35)*ISNUMBER('Test Patient'!C35)*(ABS('Test Patient'!C35-$E35)&lt;VisitHrs/24)+('Test Patient'!D35=$D35)*ISNUMBER('Test Patient'!E35)*(ABS('Test Patient'!E35-$E35)&lt;VisitHrs/24)+('Test Patient'!F35=$D35)*ISNUMBER('Test Patient'!G35)*(ABS('Test Patient'!G35-$E35)&lt;VisitHrs/24))-1)+('Anita Klesch'!$B35=$D35)*($E35&lt;DayEnd)*($E35+VisitHrs/24&gt;DayStart)+('Anita Klesch'!$C35=$D35)*((($E35+VisitHrs/24&gt;DayEnd)+($E35&lt;DayStart))&gt;0)+('Test Patient 2'!$B35=$D35)*($E35&lt;DayEnd)*($E35+VisitHrs/24&gt;DayStart)+('Test Patient 2'!$C35=$D35)*((($E35+VisitHrs/24&gt;DayEnd)+($E35&lt;DayStart))&gt;0)&gt;=1,1,0),0)</f>
        <v>0</v>
      </c>
      <c r="L35" s="12">
        <f>IF(AND($H35=1,$F35&lt;&gt;"",ISNUMBER($G35)),IF(((('Lucy Levene'!B35=$F35)*ISNUMBER('Lucy Levene'!C35)*(ABS('Lucy Levene'!C35-$G35)&lt;VisitHrs/24)+('Lucy Levene'!D35=$F35)*ISNUMBER('Lucy Levene'!E35)*(ABS('Lucy Levene'!E35-$G35)&lt;VisitHrs/24)+('Lucy Levene'!F35=$F35)*ISNUMBER('Lucy Levene'!G35)*(ABS('Lucy Levene'!G35-$G35)&lt;VisitHrs/24)+('Tom Bock'!B35=$F35)*ISNUMBER('Tom Bock'!C35)*(ABS('Tom Bock'!C35-$G35)&lt;VisitHrs/24)+('Tom Bock'!D35=$F35)*ISNUMBER('Tom Bock'!E35)*(ABS('Tom Bock'!E35-$G35)&lt;VisitHrs/24)+('Tom Bock'!F35=$F35)*ISNUMBER('Tom Bock'!G35)*(ABS('Tom Bock'!G35-$G35)&lt;VisitHrs/24)+(Jeremy!B35=$F35)*ISNUMBER(Jeremy!C35)*(ABS(Jeremy!C35-$G35)&lt;VisitHrs/24)+(Jeremy!D35=$F35)*ISNUMBER(Jeremy!E35)*(ABS(Jeremy!E35-$G35)&lt;VisitHrs/24)+(Jeremy!F35=$F35)*ISNUMBER(Jeremy!G35)*(ABS(Jeremy!G35-$G35)&lt;VisitHrs/24)+('Test Patient'!B35=$F35)*ISNUMBER('Test Patient'!C35)*(ABS('Test Patient'!C35-$G35)&lt;VisitHrs/24)+('Test Patient'!D35=$F35)*ISNUMBER('Test Patient'!E35)*(ABS('Test Patient'!E35-$G35)&lt;VisitHrs/24)+('Test Patient'!F35=$F35)*ISNUMBER('Test Patient'!G35)*(ABS('Test Patient'!G35-$G35)&lt;VisitHrs/24))-1)+('Anita Klesch'!$B35=$F35)*($G35&lt;DayEnd)*($G35+VisitHrs/24&gt;DayStart)+('Anita Klesch'!$C35=$F35)*((($G35+VisitHrs/24&gt;DayEnd)+($G35&lt;DayStart))&gt;0)+('Test Patient 2'!$B35=$F35)*($G35&lt;DayEnd)*($G35+VisitHrs/24&gt;DayStart)+('Test Patient 2'!$C35=$F35)*((($G35+VisitHrs/24&gt;DayEnd)+($G35&lt;DayStart))&gt;0)&gt;=1,1,0),0)</f>
        <v>0</v>
      </c>
      <c r="M35" s="12" t="str">
        <f t="shared" si="2"/>
        <v/>
      </c>
      <c r="N35" s="12" t="str">
        <f t="shared" si="3"/>
        <v/>
      </c>
      <c r="O35" s="12" t="str">
        <f t="shared" si="4"/>
        <v/>
      </c>
    </row>
    <row r="36" spans="1:15" x14ac:dyDescent="0.2">
      <c r="A36" s="2">
        <f t="shared" si="5"/>
        <v>46242</v>
      </c>
      <c r="B36" s="3"/>
      <c r="C36" s="24"/>
      <c r="D36" s="19"/>
      <c r="E36" s="25"/>
      <c r="F36" s="19"/>
      <c r="G36" s="25"/>
      <c r="H36" s="12">
        <f t="shared" si="0"/>
        <v>0</v>
      </c>
      <c r="I36" s="12">
        <f t="shared" si="1"/>
        <v>0</v>
      </c>
      <c r="J36" s="12">
        <f>IF(AND($H36=1,$B36&lt;&gt;"",ISNUMBER($C36)),IF(((('Lucy Levene'!B36=$B36)*ISNUMBER('Lucy Levene'!C36)*(ABS('Lucy Levene'!C36-$C36)&lt;VisitHrs/24)+('Lucy Levene'!D36=$B36)*ISNUMBER('Lucy Levene'!E36)*(ABS('Lucy Levene'!E36-$C36)&lt;VisitHrs/24)+('Lucy Levene'!F36=$B36)*ISNUMBER('Lucy Levene'!G36)*(ABS('Lucy Levene'!G36-$C36)&lt;VisitHrs/24)+('Tom Bock'!B36=$B36)*ISNUMBER('Tom Bock'!C36)*(ABS('Tom Bock'!C36-$C36)&lt;VisitHrs/24)+('Tom Bock'!D36=$B36)*ISNUMBER('Tom Bock'!E36)*(ABS('Tom Bock'!E36-$C36)&lt;VisitHrs/24)+('Tom Bock'!F36=$B36)*ISNUMBER('Tom Bock'!G36)*(ABS('Tom Bock'!G36-$C36)&lt;VisitHrs/24)+(Jeremy!B36=$B36)*ISNUMBER(Jeremy!C36)*(ABS(Jeremy!C36-$C36)&lt;VisitHrs/24)+(Jeremy!D36=$B36)*ISNUMBER(Jeremy!E36)*(ABS(Jeremy!E36-$C36)&lt;VisitHrs/24)+(Jeremy!F36=$B36)*ISNUMBER(Jeremy!G36)*(ABS(Jeremy!G36-$C36)&lt;VisitHrs/24)+('Test Patient'!B36=$B36)*ISNUMBER('Test Patient'!C36)*(ABS('Test Patient'!C36-$C36)&lt;VisitHrs/24)+('Test Patient'!D36=$B36)*ISNUMBER('Test Patient'!E36)*(ABS('Test Patient'!E36-$C36)&lt;VisitHrs/24)+('Test Patient'!F36=$B36)*ISNUMBER('Test Patient'!G36)*(ABS('Test Patient'!G36-$C36)&lt;VisitHrs/24))-1)+('Anita Klesch'!$B36=$B36)*($C36&lt;DayEnd)*($C36+VisitHrs/24&gt;DayStart)+('Anita Klesch'!$C36=$B36)*((($C36+VisitHrs/24&gt;DayEnd)+($C36&lt;DayStart))&gt;0)+('Test Patient 2'!$B36=$B36)*($C36&lt;DayEnd)*($C36+VisitHrs/24&gt;DayStart)+('Test Patient 2'!$C36=$B36)*((($C36+VisitHrs/24&gt;DayEnd)+($C36&lt;DayStart))&gt;0)&gt;=1,1,0),0)</f>
        <v>0</v>
      </c>
      <c r="K36" s="12">
        <f>IF(AND($H36=1,$D36&lt;&gt;"",ISNUMBER($E36)),IF(((('Lucy Levene'!B36=$D36)*ISNUMBER('Lucy Levene'!C36)*(ABS('Lucy Levene'!C36-$E36)&lt;VisitHrs/24)+('Lucy Levene'!D36=$D36)*ISNUMBER('Lucy Levene'!E36)*(ABS('Lucy Levene'!E36-$E36)&lt;VisitHrs/24)+('Lucy Levene'!F36=$D36)*ISNUMBER('Lucy Levene'!G36)*(ABS('Lucy Levene'!G36-$E36)&lt;VisitHrs/24)+('Tom Bock'!B36=$D36)*ISNUMBER('Tom Bock'!C36)*(ABS('Tom Bock'!C36-$E36)&lt;VisitHrs/24)+('Tom Bock'!D36=$D36)*ISNUMBER('Tom Bock'!E36)*(ABS('Tom Bock'!E36-$E36)&lt;VisitHrs/24)+('Tom Bock'!F36=$D36)*ISNUMBER('Tom Bock'!G36)*(ABS('Tom Bock'!G36-$E36)&lt;VisitHrs/24)+(Jeremy!B36=$D36)*ISNUMBER(Jeremy!C36)*(ABS(Jeremy!C36-$E36)&lt;VisitHrs/24)+(Jeremy!D36=$D36)*ISNUMBER(Jeremy!E36)*(ABS(Jeremy!E36-$E36)&lt;VisitHrs/24)+(Jeremy!F36=$D36)*ISNUMBER(Jeremy!G36)*(ABS(Jeremy!G36-$E36)&lt;VisitHrs/24)+('Test Patient'!B36=$D36)*ISNUMBER('Test Patient'!C36)*(ABS('Test Patient'!C36-$E36)&lt;VisitHrs/24)+('Test Patient'!D36=$D36)*ISNUMBER('Test Patient'!E36)*(ABS('Test Patient'!E36-$E36)&lt;VisitHrs/24)+('Test Patient'!F36=$D36)*ISNUMBER('Test Patient'!G36)*(ABS('Test Patient'!G36-$E36)&lt;VisitHrs/24))-1)+('Anita Klesch'!$B36=$D36)*($E36&lt;DayEnd)*($E36+VisitHrs/24&gt;DayStart)+('Anita Klesch'!$C36=$D36)*((($E36+VisitHrs/24&gt;DayEnd)+($E36&lt;DayStart))&gt;0)+('Test Patient 2'!$B36=$D36)*($E36&lt;DayEnd)*($E36+VisitHrs/24&gt;DayStart)+('Test Patient 2'!$C36=$D36)*((($E36+VisitHrs/24&gt;DayEnd)+($E36&lt;DayStart))&gt;0)&gt;=1,1,0),0)</f>
        <v>0</v>
      </c>
      <c r="L36" s="12">
        <f>IF(AND($H36=1,$F36&lt;&gt;"",ISNUMBER($G36)),IF(((('Lucy Levene'!B36=$F36)*ISNUMBER('Lucy Levene'!C36)*(ABS('Lucy Levene'!C36-$G36)&lt;VisitHrs/24)+('Lucy Levene'!D36=$F36)*ISNUMBER('Lucy Levene'!E36)*(ABS('Lucy Levene'!E36-$G36)&lt;VisitHrs/24)+('Lucy Levene'!F36=$F36)*ISNUMBER('Lucy Levene'!G36)*(ABS('Lucy Levene'!G36-$G36)&lt;VisitHrs/24)+('Tom Bock'!B36=$F36)*ISNUMBER('Tom Bock'!C36)*(ABS('Tom Bock'!C36-$G36)&lt;VisitHrs/24)+('Tom Bock'!D36=$F36)*ISNUMBER('Tom Bock'!E36)*(ABS('Tom Bock'!E36-$G36)&lt;VisitHrs/24)+('Tom Bock'!F36=$F36)*ISNUMBER('Tom Bock'!G36)*(ABS('Tom Bock'!G36-$G36)&lt;VisitHrs/24)+(Jeremy!B36=$F36)*ISNUMBER(Jeremy!C36)*(ABS(Jeremy!C36-$G36)&lt;VisitHrs/24)+(Jeremy!D36=$F36)*ISNUMBER(Jeremy!E36)*(ABS(Jeremy!E36-$G36)&lt;VisitHrs/24)+(Jeremy!F36=$F36)*ISNUMBER(Jeremy!G36)*(ABS(Jeremy!G36-$G36)&lt;VisitHrs/24)+('Test Patient'!B36=$F36)*ISNUMBER('Test Patient'!C36)*(ABS('Test Patient'!C36-$G36)&lt;VisitHrs/24)+('Test Patient'!D36=$F36)*ISNUMBER('Test Patient'!E36)*(ABS('Test Patient'!E36-$G36)&lt;VisitHrs/24)+('Test Patient'!F36=$F36)*ISNUMBER('Test Patient'!G36)*(ABS('Test Patient'!G36-$G36)&lt;VisitHrs/24))-1)+('Anita Klesch'!$B36=$F36)*($G36&lt;DayEnd)*($G36+VisitHrs/24&gt;DayStart)+('Anita Klesch'!$C36=$F36)*((($G36+VisitHrs/24&gt;DayEnd)+($G36&lt;DayStart))&gt;0)+('Test Patient 2'!$B36=$F36)*($G36&lt;DayEnd)*($G36+VisitHrs/24&gt;DayStart)+('Test Patient 2'!$C36=$F36)*((($G36+VisitHrs/24&gt;DayEnd)+($G36&lt;DayStart))&gt;0)&gt;=1,1,0),0)</f>
        <v>0</v>
      </c>
      <c r="M36" s="12" t="str">
        <f t="shared" si="2"/>
        <v/>
      </c>
      <c r="N36" s="12" t="str">
        <f t="shared" si="3"/>
        <v/>
      </c>
      <c r="O36" s="12" t="str">
        <f t="shared" si="4"/>
        <v/>
      </c>
    </row>
    <row r="37" spans="1:15" x14ac:dyDescent="0.2">
      <c r="A37" s="2">
        <f t="shared" si="5"/>
        <v>46243</v>
      </c>
      <c r="B37" s="3"/>
      <c r="C37" s="24"/>
      <c r="D37" s="19"/>
      <c r="E37" s="25"/>
      <c r="F37" s="19"/>
      <c r="G37" s="25"/>
      <c r="H37" s="12">
        <f t="shared" si="0"/>
        <v>0</v>
      </c>
      <c r="I37" s="12">
        <f t="shared" si="1"/>
        <v>0</v>
      </c>
      <c r="J37" s="12">
        <f>IF(AND($H37=1,$B37&lt;&gt;"",ISNUMBER($C37)),IF(((('Lucy Levene'!B37=$B37)*ISNUMBER('Lucy Levene'!C37)*(ABS('Lucy Levene'!C37-$C37)&lt;VisitHrs/24)+('Lucy Levene'!D37=$B37)*ISNUMBER('Lucy Levene'!E37)*(ABS('Lucy Levene'!E37-$C37)&lt;VisitHrs/24)+('Lucy Levene'!F37=$B37)*ISNUMBER('Lucy Levene'!G37)*(ABS('Lucy Levene'!G37-$C37)&lt;VisitHrs/24)+('Tom Bock'!B37=$B37)*ISNUMBER('Tom Bock'!C37)*(ABS('Tom Bock'!C37-$C37)&lt;VisitHrs/24)+('Tom Bock'!D37=$B37)*ISNUMBER('Tom Bock'!E37)*(ABS('Tom Bock'!E37-$C37)&lt;VisitHrs/24)+('Tom Bock'!F37=$B37)*ISNUMBER('Tom Bock'!G37)*(ABS('Tom Bock'!G37-$C37)&lt;VisitHrs/24)+(Jeremy!B37=$B37)*ISNUMBER(Jeremy!C37)*(ABS(Jeremy!C37-$C37)&lt;VisitHrs/24)+(Jeremy!D37=$B37)*ISNUMBER(Jeremy!E37)*(ABS(Jeremy!E37-$C37)&lt;VisitHrs/24)+(Jeremy!F37=$B37)*ISNUMBER(Jeremy!G37)*(ABS(Jeremy!G37-$C37)&lt;VisitHrs/24)+('Test Patient'!B37=$B37)*ISNUMBER('Test Patient'!C37)*(ABS('Test Patient'!C37-$C37)&lt;VisitHrs/24)+('Test Patient'!D37=$B37)*ISNUMBER('Test Patient'!E37)*(ABS('Test Patient'!E37-$C37)&lt;VisitHrs/24)+('Test Patient'!F37=$B37)*ISNUMBER('Test Patient'!G37)*(ABS('Test Patient'!G37-$C37)&lt;VisitHrs/24))-1)+('Anita Klesch'!$B37=$B37)*($C37&lt;DayEnd)*($C37+VisitHrs/24&gt;DayStart)+('Anita Klesch'!$C37=$B37)*((($C37+VisitHrs/24&gt;DayEnd)+($C37&lt;DayStart))&gt;0)+('Test Patient 2'!$B37=$B37)*($C37&lt;DayEnd)*($C37+VisitHrs/24&gt;DayStart)+('Test Patient 2'!$C37=$B37)*((($C37+VisitHrs/24&gt;DayEnd)+($C37&lt;DayStart))&gt;0)&gt;=1,1,0),0)</f>
        <v>0</v>
      </c>
      <c r="K37" s="12">
        <f>IF(AND($H37=1,$D37&lt;&gt;"",ISNUMBER($E37)),IF(((('Lucy Levene'!B37=$D37)*ISNUMBER('Lucy Levene'!C37)*(ABS('Lucy Levene'!C37-$E37)&lt;VisitHrs/24)+('Lucy Levene'!D37=$D37)*ISNUMBER('Lucy Levene'!E37)*(ABS('Lucy Levene'!E37-$E37)&lt;VisitHrs/24)+('Lucy Levene'!F37=$D37)*ISNUMBER('Lucy Levene'!G37)*(ABS('Lucy Levene'!G37-$E37)&lt;VisitHrs/24)+('Tom Bock'!B37=$D37)*ISNUMBER('Tom Bock'!C37)*(ABS('Tom Bock'!C37-$E37)&lt;VisitHrs/24)+('Tom Bock'!D37=$D37)*ISNUMBER('Tom Bock'!E37)*(ABS('Tom Bock'!E37-$E37)&lt;VisitHrs/24)+('Tom Bock'!F37=$D37)*ISNUMBER('Tom Bock'!G37)*(ABS('Tom Bock'!G37-$E37)&lt;VisitHrs/24)+(Jeremy!B37=$D37)*ISNUMBER(Jeremy!C37)*(ABS(Jeremy!C37-$E37)&lt;VisitHrs/24)+(Jeremy!D37=$D37)*ISNUMBER(Jeremy!E37)*(ABS(Jeremy!E37-$E37)&lt;VisitHrs/24)+(Jeremy!F37=$D37)*ISNUMBER(Jeremy!G37)*(ABS(Jeremy!G37-$E37)&lt;VisitHrs/24)+('Test Patient'!B37=$D37)*ISNUMBER('Test Patient'!C37)*(ABS('Test Patient'!C37-$E37)&lt;VisitHrs/24)+('Test Patient'!D37=$D37)*ISNUMBER('Test Patient'!E37)*(ABS('Test Patient'!E37-$E37)&lt;VisitHrs/24)+('Test Patient'!F37=$D37)*ISNUMBER('Test Patient'!G37)*(ABS('Test Patient'!G37-$E37)&lt;VisitHrs/24))-1)+('Anita Klesch'!$B37=$D37)*($E37&lt;DayEnd)*($E37+VisitHrs/24&gt;DayStart)+('Anita Klesch'!$C37=$D37)*((($E37+VisitHrs/24&gt;DayEnd)+($E37&lt;DayStart))&gt;0)+('Test Patient 2'!$B37=$D37)*($E37&lt;DayEnd)*($E37+VisitHrs/24&gt;DayStart)+('Test Patient 2'!$C37=$D37)*((($E37+VisitHrs/24&gt;DayEnd)+($E37&lt;DayStart))&gt;0)&gt;=1,1,0),0)</f>
        <v>0</v>
      </c>
      <c r="L37" s="12">
        <f>IF(AND($H37=1,$F37&lt;&gt;"",ISNUMBER($G37)),IF(((('Lucy Levene'!B37=$F37)*ISNUMBER('Lucy Levene'!C37)*(ABS('Lucy Levene'!C37-$G37)&lt;VisitHrs/24)+('Lucy Levene'!D37=$F37)*ISNUMBER('Lucy Levene'!E37)*(ABS('Lucy Levene'!E37-$G37)&lt;VisitHrs/24)+('Lucy Levene'!F37=$F37)*ISNUMBER('Lucy Levene'!G37)*(ABS('Lucy Levene'!G37-$G37)&lt;VisitHrs/24)+('Tom Bock'!B37=$F37)*ISNUMBER('Tom Bock'!C37)*(ABS('Tom Bock'!C37-$G37)&lt;VisitHrs/24)+('Tom Bock'!D37=$F37)*ISNUMBER('Tom Bock'!E37)*(ABS('Tom Bock'!E37-$G37)&lt;VisitHrs/24)+('Tom Bock'!F37=$F37)*ISNUMBER('Tom Bock'!G37)*(ABS('Tom Bock'!G37-$G37)&lt;VisitHrs/24)+(Jeremy!B37=$F37)*ISNUMBER(Jeremy!C37)*(ABS(Jeremy!C37-$G37)&lt;VisitHrs/24)+(Jeremy!D37=$F37)*ISNUMBER(Jeremy!E37)*(ABS(Jeremy!E37-$G37)&lt;VisitHrs/24)+(Jeremy!F37=$F37)*ISNUMBER(Jeremy!G37)*(ABS(Jeremy!G37-$G37)&lt;VisitHrs/24)+('Test Patient'!B37=$F37)*ISNUMBER('Test Patient'!C37)*(ABS('Test Patient'!C37-$G37)&lt;VisitHrs/24)+('Test Patient'!D37=$F37)*ISNUMBER('Test Patient'!E37)*(ABS('Test Patient'!E37-$G37)&lt;VisitHrs/24)+('Test Patient'!F37=$F37)*ISNUMBER('Test Patient'!G37)*(ABS('Test Patient'!G37-$G37)&lt;VisitHrs/24))-1)+('Anita Klesch'!$B37=$F37)*($G37&lt;DayEnd)*($G37+VisitHrs/24&gt;DayStart)+('Anita Klesch'!$C37=$F37)*((($G37+VisitHrs/24&gt;DayEnd)+($G37&lt;DayStart))&gt;0)+('Test Patient 2'!$B37=$F37)*($G37&lt;DayEnd)*($G37+VisitHrs/24&gt;DayStart)+('Test Patient 2'!$C37=$F37)*((($G37+VisitHrs/24&gt;DayEnd)+($G37&lt;DayStart))&gt;0)&gt;=1,1,0),0)</f>
        <v>0</v>
      </c>
      <c r="M37" s="12" t="str">
        <f t="shared" si="2"/>
        <v/>
      </c>
      <c r="N37" s="12" t="str">
        <f t="shared" si="3"/>
        <v/>
      </c>
      <c r="O37" s="12" t="str">
        <f t="shared" si="4"/>
        <v/>
      </c>
    </row>
    <row r="38" spans="1:15" x14ac:dyDescent="0.2">
      <c r="A38" s="2">
        <f t="shared" si="5"/>
        <v>46244</v>
      </c>
      <c r="B38" s="3"/>
      <c r="C38" s="24"/>
      <c r="D38" s="19"/>
      <c r="E38" s="25"/>
      <c r="F38" s="19"/>
      <c r="G38" s="25"/>
      <c r="H38" s="12">
        <f t="shared" si="0"/>
        <v>0</v>
      </c>
      <c r="I38" s="12">
        <f t="shared" si="1"/>
        <v>0</v>
      </c>
      <c r="J38" s="12">
        <f>IF(AND($H38=1,$B38&lt;&gt;"",ISNUMBER($C38)),IF(((('Lucy Levene'!B38=$B38)*ISNUMBER('Lucy Levene'!C38)*(ABS('Lucy Levene'!C38-$C38)&lt;VisitHrs/24)+('Lucy Levene'!D38=$B38)*ISNUMBER('Lucy Levene'!E38)*(ABS('Lucy Levene'!E38-$C38)&lt;VisitHrs/24)+('Lucy Levene'!F38=$B38)*ISNUMBER('Lucy Levene'!G38)*(ABS('Lucy Levene'!G38-$C38)&lt;VisitHrs/24)+('Tom Bock'!B38=$B38)*ISNUMBER('Tom Bock'!C38)*(ABS('Tom Bock'!C38-$C38)&lt;VisitHrs/24)+('Tom Bock'!D38=$B38)*ISNUMBER('Tom Bock'!E38)*(ABS('Tom Bock'!E38-$C38)&lt;VisitHrs/24)+('Tom Bock'!F38=$B38)*ISNUMBER('Tom Bock'!G38)*(ABS('Tom Bock'!G38-$C38)&lt;VisitHrs/24)+(Jeremy!B38=$B38)*ISNUMBER(Jeremy!C38)*(ABS(Jeremy!C38-$C38)&lt;VisitHrs/24)+(Jeremy!D38=$B38)*ISNUMBER(Jeremy!E38)*(ABS(Jeremy!E38-$C38)&lt;VisitHrs/24)+(Jeremy!F38=$B38)*ISNUMBER(Jeremy!G38)*(ABS(Jeremy!G38-$C38)&lt;VisitHrs/24)+('Test Patient'!B38=$B38)*ISNUMBER('Test Patient'!C38)*(ABS('Test Patient'!C38-$C38)&lt;VisitHrs/24)+('Test Patient'!D38=$B38)*ISNUMBER('Test Patient'!E38)*(ABS('Test Patient'!E38-$C38)&lt;VisitHrs/24)+('Test Patient'!F38=$B38)*ISNUMBER('Test Patient'!G38)*(ABS('Test Patient'!G38-$C38)&lt;VisitHrs/24))-1)+('Anita Klesch'!$B38=$B38)*($C38&lt;DayEnd)*($C38+VisitHrs/24&gt;DayStart)+('Anita Klesch'!$C38=$B38)*((($C38+VisitHrs/24&gt;DayEnd)+($C38&lt;DayStart))&gt;0)+('Test Patient 2'!$B38=$B38)*($C38&lt;DayEnd)*($C38+VisitHrs/24&gt;DayStart)+('Test Patient 2'!$C38=$B38)*((($C38+VisitHrs/24&gt;DayEnd)+($C38&lt;DayStart))&gt;0)&gt;=1,1,0),0)</f>
        <v>0</v>
      </c>
      <c r="K38" s="12">
        <f>IF(AND($H38=1,$D38&lt;&gt;"",ISNUMBER($E38)),IF(((('Lucy Levene'!B38=$D38)*ISNUMBER('Lucy Levene'!C38)*(ABS('Lucy Levene'!C38-$E38)&lt;VisitHrs/24)+('Lucy Levene'!D38=$D38)*ISNUMBER('Lucy Levene'!E38)*(ABS('Lucy Levene'!E38-$E38)&lt;VisitHrs/24)+('Lucy Levene'!F38=$D38)*ISNUMBER('Lucy Levene'!G38)*(ABS('Lucy Levene'!G38-$E38)&lt;VisitHrs/24)+('Tom Bock'!B38=$D38)*ISNUMBER('Tom Bock'!C38)*(ABS('Tom Bock'!C38-$E38)&lt;VisitHrs/24)+('Tom Bock'!D38=$D38)*ISNUMBER('Tom Bock'!E38)*(ABS('Tom Bock'!E38-$E38)&lt;VisitHrs/24)+('Tom Bock'!F38=$D38)*ISNUMBER('Tom Bock'!G38)*(ABS('Tom Bock'!G38-$E38)&lt;VisitHrs/24)+(Jeremy!B38=$D38)*ISNUMBER(Jeremy!C38)*(ABS(Jeremy!C38-$E38)&lt;VisitHrs/24)+(Jeremy!D38=$D38)*ISNUMBER(Jeremy!E38)*(ABS(Jeremy!E38-$E38)&lt;VisitHrs/24)+(Jeremy!F38=$D38)*ISNUMBER(Jeremy!G38)*(ABS(Jeremy!G38-$E38)&lt;VisitHrs/24)+('Test Patient'!B38=$D38)*ISNUMBER('Test Patient'!C38)*(ABS('Test Patient'!C38-$E38)&lt;VisitHrs/24)+('Test Patient'!D38=$D38)*ISNUMBER('Test Patient'!E38)*(ABS('Test Patient'!E38-$E38)&lt;VisitHrs/24)+('Test Patient'!F38=$D38)*ISNUMBER('Test Patient'!G38)*(ABS('Test Patient'!G38-$E38)&lt;VisitHrs/24))-1)+('Anita Klesch'!$B38=$D38)*($E38&lt;DayEnd)*($E38+VisitHrs/24&gt;DayStart)+('Anita Klesch'!$C38=$D38)*((($E38+VisitHrs/24&gt;DayEnd)+($E38&lt;DayStart))&gt;0)+('Test Patient 2'!$B38=$D38)*($E38&lt;DayEnd)*($E38+VisitHrs/24&gt;DayStart)+('Test Patient 2'!$C38=$D38)*((($E38+VisitHrs/24&gt;DayEnd)+($E38&lt;DayStart))&gt;0)&gt;=1,1,0),0)</f>
        <v>0</v>
      </c>
      <c r="L38" s="12">
        <f>IF(AND($H38=1,$F38&lt;&gt;"",ISNUMBER($G38)),IF(((('Lucy Levene'!B38=$F38)*ISNUMBER('Lucy Levene'!C38)*(ABS('Lucy Levene'!C38-$G38)&lt;VisitHrs/24)+('Lucy Levene'!D38=$F38)*ISNUMBER('Lucy Levene'!E38)*(ABS('Lucy Levene'!E38-$G38)&lt;VisitHrs/24)+('Lucy Levene'!F38=$F38)*ISNUMBER('Lucy Levene'!G38)*(ABS('Lucy Levene'!G38-$G38)&lt;VisitHrs/24)+('Tom Bock'!B38=$F38)*ISNUMBER('Tom Bock'!C38)*(ABS('Tom Bock'!C38-$G38)&lt;VisitHrs/24)+('Tom Bock'!D38=$F38)*ISNUMBER('Tom Bock'!E38)*(ABS('Tom Bock'!E38-$G38)&lt;VisitHrs/24)+('Tom Bock'!F38=$F38)*ISNUMBER('Tom Bock'!G38)*(ABS('Tom Bock'!G38-$G38)&lt;VisitHrs/24)+(Jeremy!B38=$F38)*ISNUMBER(Jeremy!C38)*(ABS(Jeremy!C38-$G38)&lt;VisitHrs/24)+(Jeremy!D38=$F38)*ISNUMBER(Jeremy!E38)*(ABS(Jeremy!E38-$G38)&lt;VisitHrs/24)+(Jeremy!F38=$F38)*ISNUMBER(Jeremy!G38)*(ABS(Jeremy!G38-$G38)&lt;VisitHrs/24)+('Test Patient'!B38=$F38)*ISNUMBER('Test Patient'!C38)*(ABS('Test Patient'!C38-$G38)&lt;VisitHrs/24)+('Test Patient'!D38=$F38)*ISNUMBER('Test Patient'!E38)*(ABS('Test Patient'!E38-$G38)&lt;VisitHrs/24)+('Test Patient'!F38=$F38)*ISNUMBER('Test Patient'!G38)*(ABS('Test Patient'!G38-$G38)&lt;VisitHrs/24))-1)+('Anita Klesch'!$B38=$F38)*($G38&lt;DayEnd)*($G38+VisitHrs/24&gt;DayStart)+('Anita Klesch'!$C38=$F38)*((($G38+VisitHrs/24&gt;DayEnd)+($G38&lt;DayStart))&gt;0)+('Test Patient 2'!$B38=$F38)*($G38&lt;DayEnd)*($G38+VisitHrs/24&gt;DayStart)+('Test Patient 2'!$C38=$F38)*((($G38+VisitHrs/24&gt;DayEnd)+($G38&lt;DayStart))&gt;0)&gt;=1,1,0),0)</f>
        <v>0</v>
      </c>
      <c r="M38" s="12" t="str">
        <f t="shared" si="2"/>
        <v/>
      </c>
      <c r="N38" s="12" t="str">
        <f t="shared" si="3"/>
        <v/>
      </c>
      <c r="O38" s="12" t="str">
        <f t="shared" si="4"/>
        <v/>
      </c>
    </row>
    <row r="39" spans="1:15" x14ac:dyDescent="0.2">
      <c r="A39" s="2">
        <f t="shared" si="5"/>
        <v>46245</v>
      </c>
      <c r="B39" s="3"/>
      <c r="C39" s="24"/>
      <c r="D39" s="19"/>
      <c r="E39" s="25"/>
      <c r="F39" s="19"/>
      <c r="G39" s="25"/>
      <c r="H39" s="12">
        <f t="shared" si="0"/>
        <v>0</v>
      </c>
      <c r="I39" s="12">
        <f t="shared" si="1"/>
        <v>0</v>
      </c>
      <c r="J39" s="12">
        <f>IF(AND($H39=1,$B39&lt;&gt;"",ISNUMBER($C39)),IF(((('Lucy Levene'!B39=$B39)*ISNUMBER('Lucy Levene'!C39)*(ABS('Lucy Levene'!C39-$C39)&lt;VisitHrs/24)+('Lucy Levene'!D39=$B39)*ISNUMBER('Lucy Levene'!E39)*(ABS('Lucy Levene'!E39-$C39)&lt;VisitHrs/24)+('Lucy Levene'!F39=$B39)*ISNUMBER('Lucy Levene'!G39)*(ABS('Lucy Levene'!G39-$C39)&lt;VisitHrs/24)+('Tom Bock'!B39=$B39)*ISNUMBER('Tom Bock'!C39)*(ABS('Tom Bock'!C39-$C39)&lt;VisitHrs/24)+('Tom Bock'!D39=$B39)*ISNUMBER('Tom Bock'!E39)*(ABS('Tom Bock'!E39-$C39)&lt;VisitHrs/24)+('Tom Bock'!F39=$B39)*ISNUMBER('Tom Bock'!G39)*(ABS('Tom Bock'!G39-$C39)&lt;VisitHrs/24)+(Jeremy!B39=$B39)*ISNUMBER(Jeremy!C39)*(ABS(Jeremy!C39-$C39)&lt;VisitHrs/24)+(Jeremy!D39=$B39)*ISNUMBER(Jeremy!E39)*(ABS(Jeremy!E39-$C39)&lt;VisitHrs/24)+(Jeremy!F39=$B39)*ISNUMBER(Jeremy!G39)*(ABS(Jeremy!G39-$C39)&lt;VisitHrs/24)+('Test Patient'!B39=$B39)*ISNUMBER('Test Patient'!C39)*(ABS('Test Patient'!C39-$C39)&lt;VisitHrs/24)+('Test Patient'!D39=$B39)*ISNUMBER('Test Patient'!E39)*(ABS('Test Patient'!E39-$C39)&lt;VisitHrs/24)+('Test Patient'!F39=$B39)*ISNUMBER('Test Patient'!G39)*(ABS('Test Patient'!G39-$C39)&lt;VisitHrs/24))-1)+('Anita Klesch'!$B39=$B39)*($C39&lt;DayEnd)*($C39+VisitHrs/24&gt;DayStart)+('Anita Klesch'!$C39=$B39)*((($C39+VisitHrs/24&gt;DayEnd)+($C39&lt;DayStart))&gt;0)+('Test Patient 2'!$B39=$B39)*($C39&lt;DayEnd)*($C39+VisitHrs/24&gt;DayStart)+('Test Patient 2'!$C39=$B39)*((($C39+VisitHrs/24&gt;DayEnd)+($C39&lt;DayStart))&gt;0)&gt;=1,1,0),0)</f>
        <v>0</v>
      </c>
      <c r="K39" s="12">
        <f>IF(AND($H39=1,$D39&lt;&gt;"",ISNUMBER($E39)),IF(((('Lucy Levene'!B39=$D39)*ISNUMBER('Lucy Levene'!C39)*(ABS('Lucy Levene'!C39-$E39)&lt;VisitHrs/24)+('Lucy Levene'!D39=$D39)*ISNUMBER('Lucy Levene'!E39)*(ABS('Lucy Levene'!E39-$E39)&lt;VisitHrs/24)+('Lucy Levene'!F39=$D39)*ISNUMBER('Lucy Levene'!G39)*(ABS('Lucy Levene'!G39-$E39)&lt;VisitHrs/24)+('Tom Bock'!B39=$D39)*ISNUMBER('Tom Bock'!C39)*(ABS('Tom Bock'!C39-$E39)&lt;VisitHrs/24)+('Tom Bock'!D39=$D39)*ISNUMBER('Tom Bock'!E39)*(ABS('Tom Bock'!E39-$E39)&lt;VisitHrs/24)+('Tom Bock'!F39=$D39)*ISNUMBER('Tom Bock'!G39)*(ABS('Tom Bock'!G39-$E39)&lt;VisitHrs/24)+(Jeremy!B39=$D39)*ISNUMBER(Jeremy!C39)*(ABS(Jeremy!C39-$E39)&lt;VisitHrs/24)+(Jeremy!D39=$D39)*ISNUMBER(Jeremy!E39)*(ABS(Jeremy!E39-$E39)&lt;VisitHrs/24)+(Jeremy!F39=$D39)*ISNUMBER(Jeremy!G39)*(ABS(Jeremy!G39-$E39)&lt;VisitHrs/24)+('Test Patient'!B39=$D39)*ISNUMBER('Test Patient'!C39)*(ABS('Test Patient'!C39-$E39)&lt;VisitHrs/24)+('Test Patient'!D39=$D39)*ISNUMBER('Test Patient'!E39)*(ABS('Test Patient'!E39-$E39)&lt;VisitHrs/24)+('Test Patient'!F39=$D39)*ISNUMBER('Test Patient'!G39)*(ABS('Test Patient'!G39-$E39)&lt;VisitHrs/24))-1)+('Anita Klesch'!$B39=$D39)*($E39&lt;DayEnd)*($E39+VisitHrs/24&gt;DayStart)+('Anita Klesch'!$C39=$D39)*((($E39+VisitHrs/24&gt;DayEnd)+($E39&lt;DayStart))&gt;0)+('Test Patient 2'!$B39=$D39)*($E39&lt;DayEnd)*($E39+VisitHrs/24&gt;DayStart)+('Test Patient 2'!$C39=$D39)*((($E39+VisitHrs/24&gt;DayEnd)+($E39&lt;DayStart))&gt;0)&gt;=1,1,0),0)</f>
        <v>0</v>
      </c>
      <c r="L39" s="12">
        <f>IF(AND($H39=1,$F39&lt;&gt;"",ISNUMBER($G39)),IF(((('Lucy Levene'!B39=$F39)*ISNUMBER('Lucy Levene'!C39)*(ABS('Lucy Levene'!C39-$G39)&lt;VisitHrs/24)+('Lucy Levene'!D39=$F39)*ISNUMBER('Lucy Levene'!E39)*(ABS('Lucy Levene'!E39-$G39)&lt;VisitHrs/24)+('Lucy Levene'!F39=$F39)*ISNUMBER('Lucy Levene'!G39)*(ABS('Lucy Levene'!G39-$G39)&lt;VisitHrs/24)+('Tom Bock'!B39=$F39)*ISNUMBER('Tom Bock'!C39)*(ABS('Tom Bock'!C39-$G39)&lt;VisitHrs/24)+('Tom Bock'!D39=$F39)*ISNUMBER('Tom Bock'!E39)*(ABS('Tom Bock'!E39-$G39)&lt;VisitHrs/24)+('Tom Bock'!F39=$F39)*ISNUMBER('Tom Bock'!G39)*(ABS('Tom Bock'!G39-$G39)&lt;VisitHrs/24)+(Jeremy!B39=$F39)*ISNUMBER(Jeremy!C39)*(ABS(Jeremy!C39-$G39)&lt;VisitHrs/24)+(Jeremy!D39=$F39)*ISNUMBER(Jeremy!E39)*(ABS(Jeremy!E39-$G39)&lt;VisitHrs/24)+(Jeremy!F39=$F39)*ISNUMBER(Jeremy!G39)*(ABS(Jeremy!G39-$G39)&lt;VisitHrs/24)+('Test Patient'!B39=$F39)*ISNUMBER('Test Patient'!C39)*(ABS('Test Patient'!C39-$G39)&lt;VisitHrs/24)+('Test Patient'!D39=$F39)*ISNUMBER('Test Patient'!E39)*(ABS('Test Patient'!E39-$G39)&lt;VisitHrs/24)+('Test Patient'!F39=$F39)*ISNUMBER('Test Patient'!G39)*(ABS('Test Patient'!G39-$G39)&lt;VisitHrs/24))-1)+('Anita Klesch'!$B39=$F39)*($G39&lt;DayEnd)*($G39+VisitHrs/24&gt;DayStart)+('Anita Klesch'!$C39=$F39)*((($G39+VisitHrs/24&gt;DayEnd)+($G39&lt;DayStart))&gt;0)+('Test Patient 2'!$B39=$F39)*($G39&lt;DayEnd)*($G39+VisitHrs/24&gt;DayStart)+('Test Patient 2'!$C39=$F39)*((($G39+VisitHrs/24&gt;DayEnd)+($G39&lt;DayStart))&gt;0)&gt;=1,1,0),0)</f>
        <v>0</v>
      </c>
      <c r="M39" s="12" t="str">
        <f t="shared" si="2"/>
        <v/>
      </c>
      <c r="N39" s="12" t="str">
        <f t="shared" si="3"/>
        <v/>
      </c>
      <c r="O39" s="12" t="str">
        <f t="shared" si="4"/>
        <v/>
      </c>
    </row>
    <row r="40" spans="1:15" x14ac:dyDescent="0.2">
      <c r="A40" s="2">
        <f t="shared" si="5"/>
        <v>46246</v>
      </c>
      <c r="B40" s="3"/>
      <c r="C40" s="24"/>
      <c r="D40" s="19"/>
      <c r="E40" s="25"/>
      <c r="F40" s="19"/>
      <c r="G40" s="25"/>
      <c r="H40" s="12">
        <f t="shared" si="0"/>
        <v>0</v>
      </c>
      <c r="I40" s="12">
        <f t="shared" si="1"/>
        <v>0</v>
      </c>
      <c r="J40" s="12">
        <f>IF(AND($H40=1,$B40&lt;&gt;"",ISNUMBER($C40)),IF(((('Lucy Levene'!B40=$B40)*ISNUMBER('Lucy Levene'!C40)*(ABS('Lucy Levene'!C40-$C40)&lt;VisitHrs/24)+('Lucy Levene'!D40=$B40)*ISNUMBER('Lucy Levene'!E40)*(ABS('Lucy Levene'!E40-$C40)&lt;VisitHrs/24)+('Lucy Levene'!F40=$B40)*ISNUMBER('Lucy Levene'!G40)*(ABS('Lucy Levene'!G40-$C40)&lt;VisitHrs/24)+('Tom Bock'!B40=$B40)*ISNUMBER('Tom Bock'!C40)*(ABS('Tom Bock'!C40-$C40)&lt;VisitHrs/24)+('Tom Bock'!D40=$B40)*ISNUMBER('Tom Bock'!E40)*(ABS('Tom Bock'!E40-$C40)&lt;VisitHrs/24)+('Tom Bock'!F40=$B40)*ISNUMBER('Tom Bock'!G40)*(ABS('Tom Bock'!G40-$C40)&lt;VisitHrs/24)+(Jeremy!B40=$B40)*ISNUMBER(Jeremy!C40)*(ABS(Jeremy!C40-$C40)&lt;VisitHrs/24)+(Jeremy!D40=$B40)*ISNUMBER(Jeremy!E40)*(ABS(Jeremy!E40-$C40)&lt;VisitHrs/24)+(Jeremy!F40=$B40)*ISNUMBER(Jeremy!G40)*(ABS(Jeremy!G40-$C40)&lt;VisitHrs/24)+('Test Patient'!B40=$B40)*ISNUMBER('Test Patient'!C40)*(ABS('Test Patient'!C40-$C40)&lt;VisitHrs/24)+('Test Patient'!D40=$B40)*ISNUMBER('Test Patient'!E40)*(ABS('Test Patient'!E40-$C40)&lt;VisitHrs/24)+('Test Patient'!F40=$B40)*ISNUMBER('Test Patient'!G40)*(ABS('Test Patient'!G40-$C40)&lt;VisitHrs/24))-1)+('Anita Klesch'!$B40=$B40)*($C40&lt;DayEnd)*($C40+VisitHrs/24&gt;DayStart)+('Anita Klesch'!$C40=$B40)*((($C40+VisitHrs/24&gt;DayEnd)+($C40&lt;DayStart))&gt;0)+('Test Patient 2'!$B40=$B40)*($C40&lt;DayEnd)*($C40+VisitHrs/24&gt;DayStart)+('Test Patient 2'!$C40=$B40)*((($C40+VisitHrs/24&gt;DayEnd)+($C40&lt;DayStart))&gt;0)&gt;=1,1,0),0)</f>
        <v>0</v>
      </c>
      <c r="K40" s="12">
        <f>IF(AND($H40=1,$D40&lt;&gt;"",ISNUMBER($E40)),IF(((('Lucy Levene'!B40=$D40)*ISNUMBER('Lucy Levene'!C40)*(ABS('Lucy Levene'!C40-$E40)&lt;VisitHrs/24)+('Lucy Levene'!D40=$D40)*ISNUMBER('Lucy Levene'!E40)*(ABS('Lucy Levene'!E40-$E40)&lt;VisitHrs/24)+('Lucy Levene'!F40=$D40)*ISNUMBER('Lucy Levene'!G40)*(ABS('Lucy Levene'!G40-$E40)&lt;VisitHrs/24)+('Tom Bock'!B40=$D40)*ISNUMBER('Tom Bock'!C40)*(ABS('Tom Bock'!C40-$E40)&lt;VisitHrs/24)+('Tom Bock'!D40=$D40)*ISNUMBER('Tom Bock'!E40)*(ABS('Tom Bock'!E40-$E40)&lt;VisitHrs/24)+('Tom Bock'!F40=$D40)*ISNUMBER('Tom Bock'!G40)*(ABS('Tom Bock'!G40-$E40)&lt;VisitHrs/24)+(Jeremy!B40=$D40)*ISNUMBER(Jeremy!C40)*(ABS(Jeremy!C40-$E40)&lt;VisitHrs/24)+(Jeremy!D40=$D40)*ISNUMBER(Jeremy!E40)*(ABS(Jeremy!E40-$E40)&lt;VisitHrs/24)+(Jeremy!F40=$D40)*ISNUMBER(Jeremy!G40)*(ABS(Jeremy!G40-$E40)&lt;VisitHrs/24)+('Test Patient'!B40=$D40)*ISNUMBER('Test Patient'!C40)*(ABS('Test Patient'!C40-$E40)&lt;VisitHrs/24)+('Test Patient'!D40=$D40)*ISNUMBER('Test Patient'!E40)*(ABS('Test Patient'!E40-$E40)&lt;VisitHrs/24)+('Test Patient'!F40=$D40)*ISNUMBER('Test Patient'!G40)*(ABS('Test Patient'!G40-$E40)&lt;VisitHrs/24))-1)+('Anita Klesch'!$B40=$D40)*($E40&lt;DayEnd)*($E40+VisitHrs/24&gt;DayStart)+('Anita Klesch'!$C40=$D40)*((($E40+VisitHrs/24&gt;DayEnd)+($E40&lt;DayStart))&gt;0)+('Test Patient 2'!$B40=$D40)*($E40&lt;DayEnd)*($E40+VisitHrs/24&gt;DayStart)+('Test Patient 2'!$C40=$D40)*((($E40+VisitHrs/24&gt;DayEnd)+($E40&lt;DayStart))&gt;0)&gt;=1,1,0),0)</f>
        <v>0</v>
      </c>
      <c r="L40" s="12">
        <f>IF(AND($H40=1,$F40&lt;&gt;"",ISNUMBER($G40)),IF(((('Lucy Levene'!B40=$F40)*ISNUMBER('Lucy Levene'!C40)*(ABS('Lucy Levene'!C40-$G40)&lt;VisitHrs/24)+('Lucy Levene'!D40=$F40)*ISNUMBER('Lucy Levene'!E40)*(ABS('Lucy Levene'!E40-$G40)&lt;VisitHrs/24)+('Lucy Levene'!F40=$F40)*ISNUMBER('Lucy Levene'!G40)*(ABS('Lucy Levene'!G40-$G40)&lt;VisitHrs/24)+('Tom Bock'!B40=$F40)*ISNUMBER('Tom Bock'!C40)*(ABS('Tom Bock'!C40-$G40)&lt;VisitHrs/24)+('Tom Bock'!D40=$F40)*ISNUMBER('Tom Bock'!E40)*(ABS('Tom Bock'!E40-$G40)&lt;VisitHrs/24)+('Tom Bock'!F40=$F40)*ISNUMBER('Tom Bock'!G40)*(ABS('Tom Bock'!G40-$G40)&lt;VisitHrs/24)+(Jeremy!B40=$F40)*ISNUMBER(Jeremy!C40)*(ABS(Jeremy!C40-$G40)&lt;VisitHrs/24)+(Jeremy!D40=$F40)*ISNUMBER(Jeremy!E40)*(ABS(Jeremy!E40-$G40)&lt;VisitHrs/24)+(Jeremy!F40=$F40)*ISNUMBER(Jeremy!G40)*(ABS(Jeremy!G40-$G40)&lt;VisitHrs/24)+('Test Patient'!B40=$F40)*ISNUMBER('Test Patient'!C40)*(ABS('Test Patient'!C40-$G40)&lt;VisitHrs/24)+('Test Patient'!D40=$F40)*ISNUMBER('Test Patient'!E40)*(ABS('Test Patient'!E40-$G40)&lt;VisitHrs/24)+('Test Patient'!F40=$F40)*ISNUMBER('Test Patient'!G40)*(ABS('Test Patient'!G40-$G40)&lt;VisitHrs/24))-1)+('Anita Klesch'!$B40=$F40)*($G40&lt;DayEnd)*($G40+VisitHrs/24&gt;DayStart)+('Anita Klesch'!$C40=$F40)*((($G40+VisitHrs/24&gt;DayEnd)+($G40&lt;DayStart))&gt;0)+('Test Patient 2'!$B40=$F40)*($G40&lt;DayEnd)*($G40+VisitHrs/24&gt;DayStart)+('Test Patient 2'!$C40=$F40)*((($G40+VisitHrs/24&gt;DayEnd)+($G40&lt;DayStart))&gt;0)&gt;=1,1,0),0)</f>
        <v>0</v>
      </c>
      <c r="M40" s="12" t="str">
        <f t="shared" si="2"/>
        <v/>
      </c>
      <c r="N40" s="12" t="str">
        <f t="shared" si="3"/>
        <v/>
      </c>
      <c r="O40" s="12" t="str">
        <f t="shared" si="4"/>
        <v/>
      </c>
    </row>
    <row r="41" spans="1:15" x14ac:dyDescent="0.2">
      <c r="A41" s="2">
        <f t="shared" si="5"/>
        <v>46247</v>
      </c>
      <c r="B41" s="3"/>
      <c r="C41" s="24"/>
      <c r="D41" s="19"/>
      <c r="E41" s="25"/>
      <c r="F41" s="19"/>
      <c r="G41" s="25"/>
      <c r="H41" s="12">
        <f t="shared" si="0"/>
        <v>0</v>
      </c>
      <c r="I41" s="12">
        <f t="shared" si="1"/>
        <v>0</v>
      </c>
      <c r="J41" s="12">
        <f>IF(AND($H41=1,$B41&lt;&gt;"",ISNUMBER($C41)),IF(((('Lucy Levene'!B41=$B41)*ISNUMBER('Lucy Levene'!C41)*(ABS('Lucy Levene'!C41-$C41)&lt;VisitHrs/24)+('Lucy Levene'!D41=$B41)*ISNUMBER('Lucy Levene'!E41)*(ABS('Lucy Levene'!E41-$C41)&lt;VisitHrs/24)+('Lucy Levene'!F41=$B41)*ISNUMBER('Lucy Levene'!G41)*(ABS('Lucy Levene'!G41-$C41)&lt;VisitHrs/24)+('Tom Bock'!B41=$B41)*ISNUMBER('Tom Bock'!C41)*(ABS('Tom Bock'!C41-$C41)&lt;VisitHrs/24)+('Tom Bock'!D41=$B41)*ISNUMBER('Tom Bock'!E41)*(ABS('Tom Bock'!E41-$C41)&lt;VisitHrs/24)+('Tom Bock'!F41=$B41)*ISNUMBER('Tom Bock'!G41)*(ABS('Tom Bock'!G41-$C41)&lt;VisitHrs/24)+(Jeremy!B41=$B41)*ISNUMBER(Jeremy!C41)*(ABS(Jeremy!C41-$C41)&lt;VisitHrs/24)+(Jeremy!D41=$B41)*ISNUMBER(Jeremy!E41)*(ABS(Jeremy!E41-$C41)&lt;VisitHrs/24)+(Jeremy!F41=$B41)*ISNUMBER(Jeremy!G41)*(ABS(Jeremy!G41-$C41)&lt;VisitHrs/24)+('Test Patient'!B41=$B41)*ISNUMBER('Test Patient'!C41)*(ABS('Test Patient'!C41-$C41)&lt;VisitHrs/24)+('Test Patient'!D41=$B41)*ISNUMBER('Test Patient'!E41)*(ABS('Test Patient'!E41-$C41)&lt;VisitHrs/24)+('Test Patient'!F41=$B41)*ISNUMBER('Test Patient'!G41)*(ABS('Test Patient'!G41-$C41)&lt;VisitHrs/24))-1)+('Anita Klesch'!$B41=$B41)*($C41&lt;DayEnd)*($C41+VisitHrs/24&gt;DayStart)+('Anita Klesch'!$C41=$B41)*((($C41+VisitHrs/24&gt;DayEnd)+($C41&lt;DayStart))&gt;0)+('Test Patient 2'!$B41=$B41)*($C41&lt;DayEnd)*($C41+VisitHrs/24&gt;DayStart)+('Test Patient 2'!$C41=$B41)*((($C41+VisitHrs/24&gt;DayEnd)+($C41&lt;DayStart))&gt;0)&gt;=1,1,0),0)</f>
        <v>0</v>
      </c>
      <c r="K41" s="12">
        <f>IF(AND($H41=1,$D41&lt;&gt;"",ISNUMBER($E41)),IF(((('Lucy Levene'!B41=$D41)*ISNUMBER('Lucy Levene'!C41)*(ABS('Lucy Levene'!C41-$E41)&lt;VisitHrs/24)+('Lucy Levene'!D41=$D41)*ISNUMBER('Lucy Levene'!E41)*(ABS('Lucy Levene'!E41-$E41)&lt;VisitHrs/24)+('Lucy Levene'!F41=$D41)*ISNUMBER('Lucy Levene'!G41)*(ABS('Lucy Levene'!G41-$E41)&lt;VisitHrs/24)+('Tom Bock'!B41=$D41)*ISNUMBER('Tom Bock'!C41)*(ABS('Tom Bock'!C41-$E41)&lt;VisitHrs/24)+('Tom Bock'!D41=$D41)*ISNUMBER('Tom Bock'!E41)*(ABS('Tom Bock'!E41-$E41)&lt;VisitHrs/24)+('Tom Bock'!F41=$D41)*ISNUMBER('Tom Bock'!G41)*(ABS('Tom Bock'!G41-$E41)&lt;VisitHrs/24)+(Jeremy!B41=$D41)*ISNUMBER(Jeremy!C41)*(ABS(Jeremy!C41-$E41)&lt;VisitHrs/24)+(Jeremy!D41=$D41)*ISNUMBER(Jeremy!E41)*(ABS(Jeremy!E41-$E41)&lt;VisitHrs/24)+(Jeremy!F41=$D41)*ISNUMBER(Jeremy!G41)*(ABS(Jeremy!G41-$E41)&lt;VisitHrs/24)+('Test Patient'!B41=$D41)*ISNUMBER('Test Patient'!C41)*(ABS('Test Patient'!C41-$E41)&lt;VisitHrs/24)+('Test Patient'!D41=$D41)*ISNUMBER('Test Patient'!E41)*(ABS('Test Patient'!E41-$E41)&lt;VisitHrs/24)+('Test Patient'!F41=$D41)*ISNUMBER('Test Patient'!G41)*(ABS('Test Patient'!G41-$E41)&lt;VisitHrs/24))-1)+('Anita Klesch'!$B41=$D41)*($E41&lt;DayEnd)*($E41+VisitHrs/24&gt;DayStart)+('Anita Klesch'!$C41=$D41)*((($E41+VisitHrs/24&gt;DayEnd)+($E41&lt;DayStart))&gt;0)+('Test Patient 2'!$B41=$D41)*($E41&lt;DayEnd)*($E41+VisitHrs/24&gt;DayStart)+('Test Patient 2'!$C41=$D41)*((($E41+VisitHrs/24&gt;DayEnd)+($E41&lt;DayStart))&gt;0)&gt;=1,1,0),0)</f>
        <v>0</v>
      </c>
      <c r="L41" s="12">
        <f>IF(AND($H41=1,$F41&lt;&gt;"",ISNUMBER($G41)),IF(((('Lucy Levene'!B41=$F41)*ISNUMBER('Lucy Levene'!C41)*(ABS('Lucy Levene'!C41-$G41)&lt;VisitHrs/24)+('Lucy Levene'!D41=$F41)*ISNUMBER('Lucy Levene'!E41)*(ABS('Lucy Levene'!E41-$G41)&lt;VisitHrs/24)+('Lucy Levene'!F41=$F41)*ISNUMBER('Lucy Levene'!G41)*(ABS('Lucy Levene'!G41-$G41)&lt;VisitHrs/24)+('Tom Bock'!B41=$F41)*ISNUMBER('Tom Bock'!C41)*(ABS('Tom Bock'!C41-$G41)&lt;VisitHrs/24)+('Tom Bock'!D41=$F41)*ISNUMBER('Tom Bock'!E41)*(ABS('Tom Bock'!E41-$G41)&lt;VisitHrs/24)+('Tom Bock'!F41=$F41)*ISNUMBER('Tom Bock'!G41)*(ABS('Tom Bock'!G41-$G41)&lt;VisitHrs/24)+(Jeremy!B41=$F41)*ISNUMBER(Jeremy!C41)*(ABS(Jeremy!C41-$G41)&lt;VisitHrs/24)+(Jeremy!D41=$F41)*ISNUMBER(Jeremy!E41)*(ABS(Jeremy!E41-$G41)&lt;VisitHrs/24)+(Jeremy!F41=$F41)*ISNUMBER(Jeremy!G41)*(ABS(Jeremy!G41-$G41)&lt;VisitHrs/24)+('Test Patient'!B41=$F41)*ISNUMBER('Test Patient'!C41)*(ABS('Test Patient'!C41-$G41)&lt;VisitHrs/24)+('Test Patient'!D41=$F41)*ISNUMBER('Test Patient'!E41)*(ABS('Test Patient'!E41-$G41)&lt;VisitHrs/24)+('Test Patient'!F41=$F41)*ISNUMBER('Test Patient'!G41)*(ABS('Test Patient'!G41-$G41)&lt;VisitHrs/24))-1)+('Anita Klesch'!$B41=$F41)*($G41&lt;DayEnd)*($G41+VisitHrs/24&gt;DayStart)+('Anita Klesch'!$C41=$F41)*((($G41+VisitHrs/24&gt;DayEnd)+($G41&lt;DayStart))&gt;0)+('Test Patient 2'!$B41=$F41)*($G41&lt;DayEnd)*($G41+VisitHrs/24&gt;DayStart)+('Test Patient 2'!$C41=$F41)*((($G41+VisitHrs/24&gt;DayEnd)+($G41&lt;DayStart))&gt;0)&gt;=1,1,0),0)</f>
        <v>0</v>
      </c>
      <c r="M41" s="12" t="str">
        <f t="shared" si="2"/>
        <v/>
      </c>
      <c r="N41" s="12" t="str">
        <f t="shared" si="3"/>
        <v/>
      </c>
      <c r="O41" s="12" t="str">
        <f t="shared" si="4"/>
        <v/>
      </c>
    </row>
    <row r="42" spans="1:15" x14ac:dyDescent="0.2">
      <c r="A42" s="2">
        <f t="shared" si="5"/>
        <v>46248</v>
      </c>
      <c r="B42" s="3"/>
      <c r="C42" s="24"/>
      <c r="D42" s="19"/>
      <c r="E42" s="25"/>
      <c r="F42" s="19"/>
      <c r="G42" s="25"/>
      <c r="H42" s="12">
        <f t="shared" si="0"/>
        <v>0</v>
      </c>
      <c r="I42" s="12">
        <f t="shared" si="1"/>
        <v>0</v>
      </c>
      <c r="J42" s="12">
        <f>IF(AND($H42=1,$B42&lt;&gt;"",ISNUMBER($C42)),IF(((('Lucy Levene'!B42=$B42)*ISNUMBER('Lucy Levene'!C42)*(ABS('Lucy Levene'!C42-$C42)&lt;VisitHrs/24)+('Lucy Levene'!D42=$B42)*ISNUMBER('Lucy Levene'!E42)*(ABS('Lucy Levene'!E42-$C42)&lt;VisitHrs/24)+('Lucy Levene'!F42=$B42)*ISNUMBER('Lucy Levene'!G42)*(ABS('Lucy Levene'!G42-$C42)&lt;VisitHrs/24)+('Tom Bock'!B42=$B42)*ISNUMBER('Tom Bock'!C42)*(ABS('Tom Bock'!C42-$C42)&lt;VisitHrs/24)+('Tom Bock'!D42=$B42)*ISNUMBER('Tom Bock'!E42)*(ABS('Tom Bock'!E42-$C42)&lt;VisitHrs/24)+('Tom Bock'!F42=$B42)*ISNUMBER('Tom Bock'!G42)*(ABS('Tom Bock'!G42-$C42)&lt;VisitHrs/24)+(Jeremy!B42=$B42)*ISNUMBER(Jeremy!C42)*(ABS(Jeremy!C42-$C42)&lt;VisitHrs/24)+(Jeremy!D42=$B42)*ISNUMBER(Jeremy!E42)*(ABS(Jeremy!E42-$C42)&lt;VisitHrs/24)+(Jeremy!F42=$B42)*ISNUMBER(Jeremy!G42)*(ABS(Jeremy!G42-$C42)&lt;VisitHrs/24)+('Test Patient'!B42=$B42)*ISNUMBER('Test Patient'!C42)*(ABS('Test Patient'!C42-$C42)&lt;VisitHrs/24)+('Test Patient'!D42=$B42)*ISNUMBER('Test Patient'!E42)*(ABS('Test Patient'!E42-$C42)&lt;VisitHrs/24)+('Test Patient'!F42=$B42)*ISNUMBER('Test Patient'!G42)*(ABS('Test Patient'!G42-$C42)&lt;VisitHrs/24))-1)+('Anita Klesch'!$B42=$B42)*($C42&lt;DayEnd)*($C42+VisitHrs/24&gt;DayStart)+('Anita Klesch'!$C42=$B42)*((($C42+VisitHrs/24&gt;DayEnd)+($C42&lt;DayStart))&gt;0)+('Test Patient 2'!$B42=$B42)*($C42&lt;DayEnd)*($C42+VisitHrs/24&gt;DayStart)+('Test Patient 2'!$C42=$B42)*((($C42+VisitHrs/24&gt;DayEnd)+($C42&lt;DayStart))&gt;0)&gt;=1,1,0),0)</f>
        <v>0</v>
      </c>
      <c r="K42" s="12">
        <f>IF(AND($H42=1,$D42&lt;&gt;"",ISNUMBER($E42)),IF(((('Lucy Levene'!B42=$D42)*ISNUMBER('Lucy Levene'!C42)*(ABS('Lucy Levene'!C42-$E42)&lt;VisitHrs/24)+('Lucy Levene'!D42=$D42)*ISNUMBER('Lucy Levene'!E42)*(ABS('Lucy Levene'!E42-$E42)&lt;VisitHrs/24)+('Lucy Levene'!F42=$D42)*ISNUMBER('Lucy Levene'!G42)*(ABS('Lucy Levene'!G42-$E42)&lt;VisitHrs/24)+('Tom Bock'!B42=$D42)*ISNUMBER('Tom Bock'!C42)*(ABS('Tom Bock'!C42-$E42)&lt;VisitHrs/24)+('Tom Bock'!D42=$D42)*ISNUMBER('Tom Bock'!E42)*(ABS('Tom Bock'!E42-$E42)&lt;VisitHrs/24)+('Tom Bock'!F42=$D42)*ISNUMBER('Tom Bock'!G42)*(ABS('Tom Bock'!G42-$E42)&lt;VisitHrs/24)+(Jeremy!B42=$D42)*ISNUMBER(Jeremy!C42)*(ABS(Jeremy!C42-$E42)&lt;VisitHrs/24)+(Jeremy!D42=$D42)*ISNUMBER(Jeremy!E42)*(ABS(Jeremy!E42-$E42)&lt;VisitHrs/24)+(Jeremy!F42=$D42)*ISNUMBER(Jeremy!G42)*(ABS(Jeremy!G42-$E42)&lt;VisitHrs/24)+('Test Patient'!B42=$D42)*ISNUMBER('Test Patient'!C42)*(ABS('Test Patient'!C42-$E42)&lt;VisitHrs/24)+('Test Patient'!D42=$D42)*ISNUMBER('Test Patient'!E42)*(ABS('Test Patient'!E42-$E42)&lt;VisitHrs/24)+('Test Patient'!F42=$D42)*ISNUMBER('Test Patient'!G42)*(ABS('Test Patient'!G42-$E42)&lt;VisitHrs/24))-1)+('Anita Klesch'!$B42=$D42)*($E42&lt;DayEnd)*($E42+VisitHrs/24&gt;DayStart)+('Anita Klesch'!$C42=$D42)*((($E42+VisitHrs/24&gt;DayEnd)+($E42&lt;DayStart))&gt;0)+('Test Patient 2'!$B42=$D42)*($E42&lt;DayEnd)*($E42+VisitHrs/24&gt;DayStart)+('Test Patient 2'!$C42=$D42)*((($E42+VisitHrs/24&gt;DayEnd)+($E42&lt;DayStart))&gt;0)&gt;=1,1,0),0)</f>
        <v>0</v>
      </c>
      <c r="L42" s="12">
        <f>IF(AND($H42=1,$F42&lt;&gt;"",ISNUMBER($G42)),IF(((('Lucy Levene'!B42=$F42)*ISNUMBER('Lucy Levene'!C42)*(ABS('Lucy Levene'!C42-$G42)&lt;VisitHrs/24)+('Lucy Levene'!D42=$F42)*ISNUMBER('Lucy Levene'!E42)*(ABS('Lucy Levene'!E42-$G42)&lt;VisitHrs/24)+('Lucy Levene'!F42=$F42)*ISNUMBER('Lucy Levene'!G42)*(ABS('Lucy Levene'!G42-$G42)&lt;VisitHrs/24)+('Tom Bock'!B42=$F42)*ISNUMBER('Tom Bock'!C42)*(ABS('Tom Bock'!C42-$G42)&lt;VisitHrs/24)+('Tom Bock'!D42=$F42)*ISNUMBER('Tom Bock'!E42)*(ABS('Tom Bock'!E42-$G42)&lt;VisitHrs/24)+('Tom Bock'!F42=$F42)*ISNUMBER('Tom Bock'!G42)*(ABS('Tom Bock'!G42-$G42)&lt;VisitHrs/24)+(Jeremy!B42=$F42)*ISNUMBER(Jeremy!C42)*(ABS(Jeremy!C42-$G42)&lt;VisitHrs/24)+(Jeremy!D42=$F42)*ISNUMBER(Jeremy!E42)*(ABS(Jeremy!E42-$G42)&lt;VisitHrs/24)+(Jeremy!F42=$F42)*ISNUMBER(Jeremy!G42)*(ABS(Jeremy!G42-$G42)&lt;VisitHrs/24)+('Test Patient'!B42=$F42)*ISNUMBER('Test Patient'!C42)*(ABS('Test Patient'!C42-$G42)&lt;VisitHrs/24)+('Test Patient'!D42=$F42)*ISNUMBER('Test Patient'!E42)*(ABS('Test Patient'!E42-$G42)&lt;VisitHrs/24)+('Test Patient'!F42=$F42)*ISNUMBER('Test Patient'!G42)*(ABS('Test Patient'!G42-$G42)&lt;VisitHrs/24))-1)+('Anita Klesch'!$B42=$F42)*($G42&lt;DayEnd)*($G42+VisitHrs/24&gt;DayStart)+('Anita Klesch'!$C42=$F42)*((($G42+VisitHrs/24&gt;DayEnd)+($G42&lt;DayStart))&gt;0)+('Test Patient 2'!$B42=$F42)*($G42&lt;DayEnd)*($G42+VisitHrs/24&gt;DayStart)+('Test Patient 2'!$C42=$F42)*((($G42+VisitHrs/24&gt;DayEnd)+($G42&lt;DayStart))&gt;0)&gt;=1,1,0),0)</f>
        <v>0</v>
      </c>
      <c r="M42" s="12" t="str">
        <f t="shared" si="2"/>
        <v/>
      </c>
      <c r="N42" s="12" t="str">
        <f t="shared" si="3"/>
        <v/>
      </c>
      <c r="O42" s="12" t="str">
        <f t="shared" si="4"/>
        <v/>
      </c>
    </row>
  </sheetData>
  <mergeCells count="2">
    <mergeCell ref="A1:C1"/>
    <mergeCell ref="A2:C2"/>
  </mergeCells>
  <conditionalFormatting sqref="A5:A42">
    <cfRule type="expression" dxfId="33" priority="8">
      <formula>WEEKDAY($A5,2)&gt;5</formula>
    </cfRule>
  </conditionalFormatting>
  <conditionalFormatting sqref="A5:G42">
    <cfRule type="expression" dxfId="32" priority="1" stopIfTrue="1">
      <formula>$H5=0</formula>
    </cfRule>
  </conditionalFormatting>
  <conditionalFormatting sqref="B5:B42">
    <cfRule type="expression" dxfId="31" priority="2">
      <formula>$J5=1</formula>
    </cfRule>
  </conditionalFormatting>
  <conditionalFormatting sqref="C5:C42">
    <cfRule type="expression" dxfId="30" priority="5">
      <formula>AND($H5=1,$B5&lt;&gt;"",$C5="")</formula>
    </cfRule>
  </conditionalFormatting>
  <conditionalFormatting sqref="D5:D42">
    <cfRule type="expression" dxfId="29" priority="3">
      <formula>$K5=1</formula>
    </cfRule>
  </conditionalFormatting>
  <conditionalFormatting sqref="E5:E42">
    <cfRule type="expression" dxfId="28" priority="6">
      <formula>AND($H5=1,$D5&lt;&gt;"",$E5="")</formula>
    </cfRule>
  </conditionalFormatting>
  <conditionalFormatting sqref="F5:F42">
    <cfRule type="expression" dxfId="27" priority="4">
      <formula>$L5=1</formula>
    </cfRule>
  </conditionalFormatting>
  <conditionalFormatting sqref="G5:G42">
    <cfRule type="expression" dxfId="26" priority="7">
      <formula>AND($H5=1,$F5&lt;&gt;"",$G5="")</formula>
    </cfRule>
  </conditionalFormatting>
  <dataValidations count="2">
    <dataValidation type="list" allowBlank="1" showInputMessage="1" showErrorMessage="1" sqref="B5:B42 D5:D42 F5:F42" xr:uid="{05A1ABD7-9C18-4FEA-95FD-9BECD0D2B71E}">
      <formula1>StaffList</formula1>
    </dataValidation>
    <dataValidation type="list" errorStyle="information" allowBlank="1" showInputMessage="1" showErrorMessage="1" errorTitle="Custom time" error="Pick a listed time or type an exact time (e.g. 10:15)." sqref="C5:C42 G5:G42 E5:E42" xr:uid="{84BE9B74-97AC-4789-8D50-9B5B9FD73CA9}">
      <formula1>TimeList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82E80-038A-4DCC-8737-93FE55C2A172}">
  <sheetPr>
    <tabColor rgb="FFC55A11"/>
  </sheetPr>
  <dimension ref="A1:O42"/>
  <sheetViews>
    <sheetView workbookViewId="0">
      <pane ySplit="4" topLeftCell="A5" activePane="bottomLeft" state="frozen"/>
      <selection pane="bottomLeft" activeCell="F11" sqref="F11"/>
    </sheetView>
  </sheetViews>
  <sheetFormatPr baseColWidth="10" defaultColWidth="8.83203125" defaultRowHeight="15" outlineLevelCol="1" x14ac:dyDescent="0.2"/>
  <cols>
    <col min="1" max="1" width="18.1640625" customWidth="1"/>
    <col min="2" max="2" width="19" customWidth="1"/>
    <col min="3" max="3" width="11.83203125" customWidth="1"/>
    <col min="4" max="4" width="19" customWidth="1"/>
    <col min="5" max="5" width="11.83203125" customWidth="1"/>
    <col min="6" max="6" width="19" customWidth="1"/>
    <col min="7" max="7" width="11.83203125" customWidth="1"/>
    <col min="8" max="15" width="9.1640625" outlineLevel="1"/>
  </cols>
  <sheetData>
    <row r="1" spans="1:15" ht="21" x14ac:dyDescent="0.25">
      <c r="A1" s="73" t="s">
        <v>85</v>
      </c>
      <c r="B1" s="40"/>
      <c r="C1" s="40"/>
    </row>
    <row r="2" spans="1:15" x14ac:dyDescent="0.2">
      <c r="A2" s="41" t="s">
        <v>62</v>
      </c>
      <c r="B2" s="40"/>
      <c r="C2" s="40"/>
    </row>
    <row r="4" spans="1:15" x14ac:dyDescent="0.2">
      <c r="A4" s="6" t="s">
        <v>2</v>
      </c>
      <c r="B4" s="6" t="s">
        <v>63</v>
      </c>
      <c r="C4" s="6" t="s">
        <v>64</v>
      </c>
      <c r="D4" s="6" t="s">
        <v>65</v>
      </c>
      <c r="E4" s="6" t="s">
        <v>64</v>
      </c>
      <c r="F4" s="6" t="s">
        <v>66</v>
      </c>
      <c r="G4" s="6" t="s">
        <v>64</v>
      </c>
      <c r="H4" s="11" t="s">
        <v>67</v>
      </c>
      <c r="I4" s="11" t="s">
        <v>68</v>
      </c>
      <c r="J4" s="11" t="s">
        <v>69</v>
      </c>
      <c r="K4" s="11" t="s">
        <v>70</v>
      </c>
      <c r="L4" s="11" t="s">
        <v>71</v>
      </c>
      <c r="M4" s="11" t="s">
        <v>72</v>
      </c>
      <c r="N4" s="11" t="s">
        <v>73</v>
      </c>
      <c r="O4" s="11" t="s">
        <v>74</v>
      </c>
    </row>
    <row r="5" spans="1:15" x14ac:dyDescent="0.2">
      <c r="A5" s="2">
        <f>DATE(2026,7,8)</f>
        <v>46211</v>
      </c>
      <c r="B5" s="3"/>
      <c r="C5" s="24"/>
      <c r="D5" s="19"/>
      <c r="E5" s="25"/>
      <c r="F5" s="19"/>
      <c r="G5" s="25"/>
      <c r="H5" s="12">
        <f t="shared" ref="H5:H42" si="0">IF($A5="",0,IF(AND(OR(NOT(ISNUMBER(JM_Start)),JM_Start=0,$A5&gt;=JM_Start),OR(NOT(ISNUMBER(JM_End)),JM_End=0,$A5&lt;=JM_End)),1,0))</f>
        <v>1</v>
      </c>
      <c r="I5" s="12">
        <f>IF($H5=1,($B5&lt;&gt;"")+($D5&lt;&gt;"")+($F5&lt;&gt;""),0)</f>
        <v>0</v>
      </c>
      <c r="J5" s="12">
        <f>IF(AND($H5=1,$B5&lt;&gt;"",ISNUMBER($C5)),IF(((('Lucy Levene'!B5=$B5)*ISNUMBER('Lucy Levene'!C5)*(ABS('Lucy Levene'!C5-$C5)&lt;VisitHrs/24)+('Lucy Levene'!D5=$B5)*ISNUMBER('Lucy Levene'!E5)*(ABS('Lucy Levene'!E5-$C5)&lt;VisitHrs/24)+('Lucy Levene'!F5=$B5)*ISNUMBER('Lucy Levene'!G5)*(ABS('Lucy Levene'!G5-$C5)&lt;VisitHrs/24)+('Tom Bock'!B5=$B5)*ISNUMBER('Tom Bock'!C5)*(ABS('Tom Bock'!C5-$C5)&lt;VisitHrs/24)+('Tom Bock'!D5=$B5)*ISNUMBER('Tom Bock'!E5)*(ABS('Tom Bock'!E5-$C5)&lt;VisitHrs/24)+('Tom Bock'!F5=$B5)*ISNUMBER('Tom Bock'!G5)*(ABS('Tom Bock'!G5-$C5)&lt;VisitHrs/24)+(Jeremy!B5=$B5)*ISNUMBER(Jeremy!C5)*(ABS(Jeremy!C5-$C5)&lt;VisitHrs/24)+(Jeremy!D5=$B5)*ISNUMBER(Jeremy!E5)*(ABS(Jeremy!E5-$C5)&lt;VisitHrs/24)+(Jeremy!F5=$B5)*ISNUMBER(Jeremy!G5)*(ABS(Jeremy!G5-$C5)&lt;VisitHrs/24)+('Test Patient'!B5=$B5)*ISNUMBER('Test Patient'!C5)*(ABS('Test Patient'!C5-$C5)&lt;VisitHrs/24)+('Test Patient'!D5=$B5)*ISNUMBER('Test Patient'!E5)*(ABS('Test Patient'!E5-$C5)&lt;VisitHrs/24)+('Test Patient'!F5=$B5)*ISNUMBER('Test Patient'!G5)*(ABS('Test Patient'!G5-$C5)&lt;VisitHrs/24))-1)+('Anita Klesch'!$B5=$B5)*($C5&lt;DayEnd)*($C5+VisitHrs/24&gt;DayStart)+('Anita Klesch'!$C5=$B5)*((($C5+VisitHrs/24&gt;DayEnd)+($C5&lt;DayStart))&gt;0)+('Test Patient 2'!$B5=$B5)*($C5&lt;DayEnd)*($C5+VisitHrs/24&gt;DayStart)+('Test Patient 2'!$C5=$B5)*((($C5+VisitHrs/24&gt;DayEnd)+($C5&lt;DayStart))&gt;0)&gt;=1,1,0),0)</f>
        <v>0</v>
      </c>
      <c r="K5" s="12">
        <f>IF(AND($H5=1,$D5&lt;&gt;"",ISNUMBER($E5)),IF(((('Lucy Levene'!B5=$D5)*ISNUMBER('Lucy Levene'!C5)*(ABS('Lucy Levene'!C5-$E5)&lt;VisitHrs/24)+('Lucy Levene'!D5=$D5)*ISNUMBER('Lucy Levene'!E5)*(ABS('Lucy Levene'!E5-$E5)&lt;VisitHrs/24)+('Lucy Levene'!F5=$D5)*ISNUMBER('Lucy Levene'!G5)*(ABS('Lucy Levene'!G5-$E5)&lt;VisitHrs/24)+('Tom Bock'!B5=$D5)*ISNUMBER('Tom Bock'!C5)*(ABS('Tom Bock'!C5-$E5)&lt;VisitHrs/24)+('Tom Bock'!D5=$D5)*ISNUMBER('Tom Bock'!E5)*(ABS('Tom Bock'!E5-$E5)&lt;VisitHrs/24)+('Tom Bock'!F5=$D5)*ISNUMBER('Tom Bock'!G5)*(ABS('Tom Bock'!G5-$E5)&lt;VisitHrs/24)+(Jeremy!B5=$D5)*ISNUMBER(Jeremy!C5)*(ABS(Jeremy!C5-$E5)&lt;VisitHrs/24)+(Jeremy!D5=$D5)*ISNUMBER(Jeremy!E5)*(ABS(Jeremy!E5-$E5)&lt;VisitHrs/24)+(Jeremy!F5=$D5)*ISNUMBER(Jeremy!G5)*(ABS(Jeremy!G5-$E5)&lt;VisitHrs/24)+('Test Patient'!B5=$D5)*ISNUMBER('Test Patient'!C5)*(ABS('Test Patient'!C5-$E5)&lt;VisitHrs/24)+('Test Patient'!D5=$D5)*ISNUMBER('Test Patient'!E5)*(ABS('Test Patient'!E5-$E5)&lt;VisitHrs/24)+('Test Patient'!F5=$D5)*ISNUMBER('Test Patient'!G5)*(ABS('Test Patient'!G5-$E5)&lt;VisitHrs/24))-1)+('Anita Klesch'!$B5=$D5)*($E5&lt;DayEnd)*($E5+VisitHrs/24&gt;DayStart)+('Anita Klesch'!$C5=$D5)*((($E5+VisitHrs/24&gt;DayEnd)+($E5&lt;DayStart))&gt;0)+('Test Patient 2'!$B5=$D5)*($E5&lt;DayEnd)*($E5+VisitHrs/24&gt;DayStart)+('Test Patient 2'!$C5=$D5)*((($E5+VisitHrs/24&gt;DayEnd)+($E5&lt;DayStart))&gt;0)&gt;=1,1,0),0)</f>
        <v>0</v>
      </c>
      <c r="L5" s="12">
        <f>IF(AND($H5=1,$F5&lt;&gt;"",ISNUMBER($G5)),IF(((('Lucy Levene'!B5=$F5)*ISNUMBER('Lucy Levene'!C5)*(ABS('Lucy Levene'!C5-$G5)&lt;VisitHrs/24)+('Lucy Levene'!D5=$F5)*ISNUMBER('Lucy Levene'!E5)*(ABS('Lucy Levene'!E5-$G5)&lt;VisitHrs/24)+('Lucy Levene'!F5=$F5)*ISNUMBER('Lucy Levene'!G5)*(ABS('Lucy Levene'!G5-$G5)&lt;VisitHrs/24)+('Tom Bock'!B5=$F5)*ISNUMBER('Tom Bock'!C5)*(ABS('Tom Bock'!C5-$G5)&lt;VisitHrs/24)+('Tom Bock'!D5=$F5)*ISNUMBER('Tom Bock'!E5)*(ABS('Tom Bock'!E5-$G5)&lt;VisitHrs/24)+('Tom Bock'!F5=$F5)*ISNUMBER('Tom Bock'!G5)*(ABS('Tom Bock'!G5-$G5)&lt;VisitHrs/24)+(Jeremy!B5=$F5)*ISNUMBER(Jeremy!C5)*(ABS(Jeremy!C5-$G5)&lt;VisitHrs/24)+(Jeremy!D5=$F5)*ISNUMBER(Jeremy!E5)*(ABS(Jeremy!E5-$G5)&lt;VisitHrs/24)+(Jeremy!F5=$F5)*ISNUMBER(Jeremy!G5)*(ABS(Jeremy!G5-$G5)&lt;VisitHrs/24)+('Test Patient'!B5=$F5)*ISNUMBER('Test Patient'!C5)*(ABS('Test Patient'!C5-$G5)&lt;VisitHrs/24)+('Test Patient'!D5=$F5)*ISNUMBER('Test Patient'!E5)*(ABS('Test Patient'!E5-$G5)&lt;VisitHrs/24)+('Test Patient'!F5=$F5)*ISNUMBER('Test Patient'!G5)*(ABS('Test Patient'!G5-$G5)&lt;VisitHrs/24))-1)+('Anita Klesch'!$B5=$F5)*($G5&lt;DayEnd)*($G5+VisitHrs/24&gt;DayStart)+('Anita Klesch'!$C5=$F5)*((($G5+VisitHrs/24&gt;DayEnd)+($G5&lt;DayStart))&gt;0)+('Test Patient 2'!$B5=$F5)*($G5&lt;DayEnd)*($G5+VisitHrs/24&gt;DayStart)+('Test Patient 2'!$C5=$F5)*((($G5+VisitHrs/24&gt;DayEnd)+($G5&lt;DayStart))&gt;0)&gt;=1,1,0),0)</f>
        <v>0</v>
      </c>
      <c r="M5" s="12">
        <f>IF($H5=1,$B5,"")</f>
        <v>0</v>
      </c>
      <c r="N5" s="12">
        <f>IF($H5=1,$D5,"")</f>
        <v>0</v>
      </c>
      <c r="O5" s="12">
        <f>IF($H5=1,$F5,"")</f>
        <v>0</v>
      </c>
    </row>
    <row r="6" spans="1:15" x14ac:dyDescent="0.2">
      <c r="A6" s="2">
        <f>A5+1</f>
        <v>46212</v>
      </c>
      <c r="B6" s="3"/>
      <c r="C6" s="24"/>
      <c r="D6" s="19"/>
      <c r="E6" s="25"/>
      <c r="F6" s="19"/>
      <c r="G6" s="25"/>
      <c r="H6" s="12">
        <f t="shared" si="0"/>
        <v>1</v>
      </c>
      <c r="I6" s="12">
        <f t="shared" ref="I6:I42" si="1">IF($H6=1,($B6&lt;&gt;"")+($D6&lt;&gt;"")+($F6&lt;&gt;""),0)</f>
        <v>0</v>
      </c>
      <c r="J6" s="12">
        <f>IF(AND($H6=1,$B6&lt;&gt;"",ISNUMBER($C6)),IF(((('Lucy Levene'!B6=$B6)*ISNUMBER('Lucy Levene'!C6)*(ABS('Lucy Levene'!C6-$C6)&lt;VisitHrs/24)+('Lucy Levene'!D6=$B6)*ISNUMBER('Lucy Levene'!E6)*(ABS('Lucy Levene'!E6-$C6)&lt;VisitHrs/24)+('Lucy Levene'!F6=$B6)*ISNUMBER('Lucy Levene'!G6)*(ABS('Lucy Levene'!G6-$C6)&lt;VisitHrs/24)+('Tom Bock'!B6=$B6)*ISNUMBER('Tom Bock'!C6)*(ABS('Tom Bock'!C6-$C6)&lt;VisitHrs/24)+('Tom Bock'!D6=$B6)*ISNUMBER('Tom Bock'!E6)*(ABS('Tom Bock'!E6-$C6)&lt;VisitHrs/24)+('Tom Bock'!F6=$B6)*ISNUMBER('Tom Bock'!G6)*(ABS('Tom Bock'!G6-$C6)&lt;VisitHrs/24)+(Jeremy!B6=$B6)*ISNUMBER(Jeremy!C6)*(ABS(Jeremy!C6-$C6)&lt;VisitHrs/24)+(Jeremy!D6=$B6)*ISNUMBER(Jeremy!E6)*(ABS(Jeremy!E6-$C6)&lt;VisitHrs/24)+(Jeremy!F6=$B6)*ISNUMBER(Jeremy!G6)*(ABS(Jeremy!G6-$C6)&lt;VisitHrs/24)+('Test Patient'!B6=$B6)*ISNUMBER('Test Patient'!C6)*(ABS('Test Patient'!C6-$C6)&lt;VisitHrs/24)+('Test Patient'!D6=$B6)*ISNUMBER('Test Patient'!E6)*(ABS('Test Patient'!E6-$C6)&lt;VisitHrs/24)+('Test Patient'!F6=$B6)*ISNUMBER('Test Patient'!G6)*(ABS('Test Patient'!G6-$C6)&lt;VisitHrs/24))-1)+('Anita Klesch'!$B6=$B6)*($C6&lt;DayEnd)*($C6+VisitHrs/24&gt;DayStart)+('Anita Klesch'!$C6=$B6)*((($C6+VisitHrs/24&gt;DayEnd)+($C6&lt;DayStart))&gt;0)+('Test Patient 2'!$B6=$B6)*($C6&lt;DayEnd)*($C6+VisitHrs/24&gt;DayStart)+('Test Patient 2'!$C6=$B6)*((($C6+VisitHrs/24&gt;DayEnd)+($C6&lt;DayStart))&gt;0)&gt;=1,1,0),0)</f>
        <v>0</v>
      </c>
      <c r="K6" s="12">
        <f>IF(AND($H6=1,$D6&lt;&gt;"",ISNUMBER($E6)),IF(((('Lucy Levene'!B6=$D6)*ISNUMBER('Lucy Levene'!C6)*(ABS('Lucy Levene'!C6-$E6)&lt;VisitHrs/24)+('Lucy Levene'!D6=$D6)*ISNUMBER('Lucy Levene'!E6)*(ABS('Lucy Levene'!E6-$E6)&lt;VisitHrs/24)+('Lucy Levene'!F6=$D6)*ISNUMBER('Lucy Levene'!G6)*(ABS('Lucy Levene'!G6-$E6)&lt;VisitHrs/24)+('Tom Bock'!B6=$D6)*ISNUMBER('Tom Bock'!C6)*(ABS('Tom Bock'!C6-$E6)&lt;VisitHrs/24)+('Tom Bock'!D6=$D6)*ISNUMBER('Tom Bock'!E6)*(ABS('Tom Bock'!E6-$E6)&lt;VisitHrs/24)+('Tom Bock'!F6=$D6)*ISNUMBER('Tom Bock'!G6)*(ABS('Tom Bock'!G6-$E6)&lt;VisitHrs/24)+(Jeremy!B6=$D6)*ISNUMBER(Jeremy!C6)*(ABS(Jeremy!C6-$E6)&lt;VisitHrs/24)+(Jeremy!D6=$D6)*ISNUMBER(Jeremy!E6)*(ABS(Jeremy!E6-$E6)&lt;VisitHrs/24)+(Jeremy!F6=$D6)*ISNUMBER(Jeremy!G6)*(ABS(Jeremy!G6-$E6)&lt;VisitHrs/24)+('Test Patient'!B6=$D6)*ISNUMBER('Test Patient'!C6)*(ABS('Test Patient'!C6-$E6)&lt;VisitHrs/24)+('Test Patient'!D6=$D6)*ISNUMBER('Test Patient'!E6)*(ABS('Test Patient'!E6-$E6)&lt;VisitHrs/24)+('Test Patient'!F6=$D6)*ISNUMBER('Test Patient'!G6)*(ABS('Test Patient'!G6-$E6)&lt;VisitHrs/24))-1)+('Anita Klesch'!$B6=$D6)*($E6&lt;DayEnd)*($E6+VisitHrs/24&gt;DayStart)+('Anita Klesch'!$C6=$D6)*((($E6+VisitHrs/24&gt;DayEnd)+($E6&lt;DayStart))&gt;0)+('Test Patient 2'!$B6=$D6)*($E6&lt;DayEnd)*($E6+VisitHrs/24&gt;DayStart)+('Test Patient 2'!$C6=$D6)*((($E6+VisitHrs/24&gt;DayEnd)+($E6&lt;DayStart))&gt;0)&gt;=1,1,0),0)</f>
        <v>0</v>
      </c>
      <c r="L6" s="12">
        <f>IF(AND($H6=1,$F6&lt;&gt;"",ISNUMBER($G6)),IF(((('Lucy Levene'!B6=$F6)*ISNUMBER('Lucy Levene'!C6)*(ABS('Lucy Levene'!C6-$G6)&lt;VisitHrs/24)+('Lucy Levene'!D6=$F6)*ISNUMBER('Lucy Levene'!E6)*(ABS('Lucy Levene'!E6-$G6)&lt;VisitHrs/24)+('Lucy Levene'!F6=$F6)*ISNUMBER('Lucy Levene'!G6)*(ABS('Lucy Levene'!G6-$G6)&lt;VisitHrs/24)+('Tom Bock'!B6=$F6)*ISNUMBER('Tom Bock'!C6)*(ABS('Tom Bock'!C6-$G6)&lt;VisitHrs/24)+('Tom Bock'!D6=$F6)*ISNUMBER('Tom Bock'!E6)*(ABS('Tom Bock'!E6-$G6)&lt;VisitHrs/24)+('Tom Bock'!F6=$F6)*ISNUMBER('Tom Bock'!G6)*(ABS('Tom Bock'!G6-$G6)&lt;VisitHrs/24)+(Jeremy!B6=$F6)*ISNUMBER(Jeremy!C6)*(ABS(Jeremy!C6-$G6)&lt;VisitHrs/24)+(Jeremy!D6=$F6)*ISNUMBER(Jeremy!E6)*(ABS(Jeremy!E6-$G6)&lt;VisitHrs/24)+(Jeremy!F6=$F6)*ISNUMBER(Jeremy!G6)*(ABS(Jeremy!G6-$G6)&lt;VisitHrs/24)+('Test Patient'!B6=$F6)*ISNUMBER('Test Patient'!C6)*(ABS('Test Patient'!C6-$G6)&lt;VisitHrs/24)+('Test Patient'!D6=$F6)*ISNUMBER('Test Patient'!E6)*(ABS('Test Patient'!E6-$G6)&lt;VisitHrs/24)+('Test Patient'!F6=$F6)*ISNUMBER('Test Patient'!G6)*(ABS('Test Patient'!G6-$G6)&lt;VisitHrs/24))-1)+('Anita Klesch'!$B6=$F6)*($G6&lt;DayEnd)*($G6+VisitHrs/24&gt;DayStart)+('Anita Klesch'!$C6=$F6)*((($G6+VisitHrs/24&gt;DayEnd)+($G6&lt;DayStart))&gt;0)+('Test Patient 2'!$B6=$F6)*($G6&lt;DayEnd)*($G6+VisitHrs/24&gt;DayStart)+('Test Patient 2'!$C6=$F6)*((($G6+VisitHrs/24&gt;DayEnd)+($G6&lt;DayStart))&gt;0)&gt;=1,1,0),0)</f>
        <v>0</v>
      </c>
      <c r="M6" s="12">
        <f t="shared" ref="M6:M42" si="2">IF($H6=1,$B6,"")</f>
        <v>0</v>
      </c>
      <c r="N6" s="12">
        <f t="shared" ref="N6:N42" si="3">IF($H6=1,$D6,"")</f>
        <v>0</v>
      </c>
      <c r="O6" s="12">
        <f t="shared" ref="O6:O42" si="4">IF($H6=1,$F6,"")</f>
        <v>0</v>
      </c>
    </row>
    <row r="7" spans="1:15" x14ac:dyDescent="0.2">
      <c r="A7" s="2">
        <f t="shared" ref="A7:A42" si="5">A6+1</f>
        <v>46213</v>
      </c>
      <c r="B7" s="3"/>
      <c r="C7" s="24"/>
      <c r="D7" s="19"/>
      <c r="E7" s="25"/>
      <c r="F7" s="19"/>
      <c r="G7" s="25"/>
      <c r="H7" s="12">
        <f t="shared" si="0"/>
        <v>1</v>
      </c>
      <c r="I7" s="12">
        <f t="shared" si="1"/>
        <v>0</v>
      </c>
      <c r="J7" s="12">
        <f>IF(AND($H7=1,$B7&lt;&gt;"",ISNUMBER($C7)),IF(((('Lucy Levene'!B7=$B7)*ISNUMBER('Lucy Levene'!C7)*(ABS('Lucy Levene'!C7-$C7)&lt;VisitHrs/24)+('Lucy Levene'!D7=$B7)*ISNUMBER('Lucy Levene'!E7)*(ABS('Lucy Levene'!E7-$C7)&lt;VisitHrs/24)+('Lucy Levene'!F7=$B7)*ISNUMBER('Lucy Levene'!G7)*(ABS('Lucy Levene'!G7-$C7)&lt;VisitHrs/24)+('Tom Bock'!B7=$B7)*ISNUMBER('Tom Bock'!C7)*(ABS('Tom Bock'!C7-$C7)&lt;VisitHrs/24)+('Tom Bock'!D7=$B7)*ISNUMBER('Tom Bock'!E7)*(ABS('Tom Bock'!E7-$C7)&lt;VisitHrs/24)+('Tom Bock'!F7=$B7)*ISNUMBER('Tom Bock'!G7)*(ABS('Tom Bock'!G7-$C7)&lt;VisitHrs/24)+(Jeremy!B7=$B7)*ISNUMBER(Jeremy!C7)*(ABS(Jeremy!C7-$C7)&lt;VisitHrs/24)+(Jeremy!D7=$B7)*ISNUMBER(Jeremy!E7)*(ABS(Jeremy!E7-$C7)&lt;VisitHrs/24)+(Jeremy!F7=$B7)*ISNUMBER(Jeremy!G7)*(ABS(Jeremy!G7-$C7)&lt;VisitHrs/24)+('Test Patient'!B7=$B7)*ISNUMBER('Test Patient'!C7)*(ABS('Test Patient'!C7-$C7)&lt;VisitHrs/24)+('Test Patient'!D7=$B7)*ISNUMBER('Test Patient'!E7)*(ABS('Test Patient'!E7-$C7)&lt;VisitHrs/24)+('Test Patient'!F7=$B7)*ISNUMBER('Test Patient'!G7)*(ABS('Test Patient'!G7-$C7)&lt;VisitHrs/24))-1)+('Anita Klesch'!$B7=$B7)*($C7&lt;DayEnd)*($C7+VisitHrs/24&gt;DayStart)+('Anita Klesch'!$C7=$B7)*((($C7+VisitHrs/24&gt;DayEnd)+($C7&lt;DayStart))&gt;0)+('Test Patient 2'!$B7=$B7)*($C7&lt;DayEnd)*($C7+VisitHrs/24&gt;DayStart)+('Test Patient 2'!$C7=$B7)*((($C7+VisitHrs/24&gt;DayEnd)+($C7&lt;DayStart))&gt;0)&gt;=1,1,0),0)</f>
        <v>0</v>
      </c>
      <c r="K7" s="12">
        <f>IF(AND($H7=1,$D7&lt;&gt;"",ISNUMBER($E7)),IF(((('Lucy Levene'!B7=$D7)*ISNUMBER('Lucy Levene'!C7)*(ABS('Lucy Levene'!C7-$E7)&lt;VisitHrs/24)+('Lucy Levene'!D7=$D7)*ISNUMBER('Lucy Levene'!E7)*(ABS('Lucy Levene'!E7-$E7)&lt;VisitHrs/24)+('Lucy Levene'!F7=$D7)*ISNUMBER('Lucy Levene'!G7)*(ABS('Lucy Levene'!G7-$E7)&lt;VisitHrs/24)+('Tom Bock'!B7=$D7)*ISNUMBER('Tom Bock'!C7)*(ABS('Tom Bock'!C7-$E7)&lt;VisitHrs/24)+('Tom Bock'!D7=$D7)*ISNUMBER('Tom Bock'!E7)*(ABS('Tom Bock'!E7-$E7)&lt;VisitHrs/24)+('Tom Bock'!F7=$D7)*ISNUMBER('Tom Bock'!G7)*(ABS('Tom Bock'!G7-$E7)&lt;VisitHrs/24)+(Jeremy!B7=$D7)*ISNUMBER(Jeremy!C7)*(ABS(Jeremy!C7-$E7)&lt;VisitHrs/24)+(Jeremy!D7=$D7)*ISNUMBER(Jeremy!E7)*(ABS(Jeremy!E7-$E7)&lt;VisitHrs/24)+(Jeremy!F7=$D7)*ISNUMBER(Jeremy!G7)*(ABS(Jeremy!G7-$E7)&lt;VisitHrs/24)+('Test Patient'!B7=$D7)*ISNUMBER('Test Patient'!C7)*(ABS('Test Patient'!C7-$E7)&lt;VisitHrs/24)+('Test Patient'!D7=$D7)*ISNUMBER('Test Patient'!E7)*(ABS('Test Patient'!E7-$E7)&lt;VisitHrs/24)+('Test Patient'!F7=$D7)*ISNUMBER('Test Patient'!G7)*(ABS('Test Patient'!G7-$E7)&lt;VisitHrs/24))-1)+('Anita Klesch'!$B7=$D7)*($E7&lt;DayEnd)*($E7+VisitHrs/24&gt;DayStart)+('Anita Klesch'!$C7=$D7)*((($E7+VisitHrs/24&gt;DayEnd)+($E7&lt;DayStart))&gt;0)+('Test Patient 2'!$B7=$D7)*($E7&lt;DayEnd)*($E7+VisitHrs/24&gt;DayStart)+('Test Patient 2'!$C7=$D7)*((($E7+VisitHrs/24&gt;DayEnd)+($E7&lt;DayStart))&gt;0)&gt;=1,1,0),0)</f>
        <v>0</v>
      </c>
      <c r="L7" s="12">
        <f>IF(AND($H7=1,$F7&lt;&gt;"",ISNUMBER($G7)),IF(((('Lucy Levene'!B7=$F7)*ISNUMBER('Lucy Levene'!C7)*(ABS('Lucy Levene'!C7-$G7)&lt;VisitHrs/24)+('Lucy Levene'!D7=$F7)*ISNUMBER('Lucy Levene'!E7)*(ABS('Lucy Levene'!E7-$G7)&lt;VisitHrs/24)+('Lucy Levene'!F7=$F7)*ISNUMBER('Lucy Levene'!G7)*(ABS('Lucy Levene'!G7-$G7)&lt;VisitHrs/24)+('Tom Bock'!B7=$F7)*ISNUMBER('Tom Bock'!C7)*(ABS('Tom Bock'!C7-$G7)&lt;VisitHrs/24)+('Tom Bock'!D7=$F7)*ISNUMBER('Tom Bock'!E7)*(ABS('Tom Bock'!E7-$G7)&lt;VisitHrs/24)+('Tom Bock'!F7=$F7)*ISNUMBER('Tom Bock'!G7)*(ABS('Tom Bock'!G7-$G7)&lt;VisitHrs/24)+(Jeremy!B7=$F7)*ISNUMBER(Jeremy!C7)*(ABS(Jeremy!C7-$G7)&lt;VisitHrs/24)+(Jeremy!D7=$F7)*ISNUMBER(Jeremy!E7)*(ABS(Jeremy!E7-$G7)&lt;VisitHrs/24)+(Jeremy!F7=$F7)*ISNUMBER(Jeremy!G7)*(ABS(Jeremy!G7-$G7)&lt;VisitHrs/24)+('Test Patient'!B7=$F7)*ISNUMBER('Test Patient'!C7)*(ABS('Test Patient'!C7-$G7)&lt;VisitHrs/24)+('Test Patient'!D7=$F7)*ISNUMBER('Test Patient'!E7)*(ABS('Test Patient'!E7-$G7)&lt;VisitHrs/24)+('Test Patient'!F7=$F7)*ISNUMBER('Test Patient'!G7)*(ABS('Test Patient'!G7-$G7)&lt;VisitHrs/24))-1)+('Anita Klesch'!$B7=$F7)*($G7&lt;DayEnd)*($G7+VisitHrs/24&gt;DayStart)+('Anita Klesch'!$C7=$F7)*((($G7+VisitHrs/24&gt;DayEnd)+($G7&lt;DayStart))&gt;0)+('Test Patient 2'!$B7=$F7)*($G7&lt;DayEnd)*($G7+VisitHrs/24&gt;DayStart)+('Test Patient 2'!$C7=$F7)*((($G7+VisitHrs/24&gt;DayEnd)+($G7&lt;DayStart))&gt;0)&gt;=1,1,0),0)</f>
        <v>0</v>
      </c>
      <c r="M7" s="12">
        <f t="shared" si="2"/>
        <v>0</v>
      </c>
      <c r="N7" s="12">
        <f t="shared" si="3"/>
        <v>0</v>
      </c>
      <c r="O7" s="12">
        <f t="shared" si="4"/>
        <v>0</v>
      </c>
    </row>
    <row r="8" spans="1:15" x14ac:dyDescent="0.2">
      <c r="A8" s="2">
        <f t="shared" si="5"/>
        <v>46214</v>
      </c>
      <c r="B8" s="3"/>
      <c r="C8" s="24"/>
      <c r="D8" s="19"/>
      <c r="E8" s="25"/>
      <c r="F8" s="19"/>
      <c r="G8" s="25"/>
      <c r="H8" s="12">
        <f t="shared" si="0"/>
        <v>1</v>
      </c>
      <c r="I8" s="12">
        <f t="shared" si="1"/>
        <v>0</v>
      </c>
      <c r="J8" s="12">
        <f>IF(AND($H8=1,$B8&lt;&gt;"",ISNUMBER($C8)),IF(((('Lucy Levene'!B8=$B8)*ISNUMBER('Lucy Levene'!C8)*(ABS('Lucy Levene'!C8-$C8)&lt;VisitHrs/24)+('Lucy Levene'!D8=$B8)*ISNUMBER('Lucy Levene'!E8)*(ABS('Lucy Levene'!E8-$C8)&lt;VisitHrs/24)+('Lucy Levene'!F8=$B8)*ISNUMBER('Lucy Levene'!G8)*(ABS('Lucy Levene'!G8-$C8)&lt;VisitHrs/24)+('Tom Bock'!B8=$B8)*ISNUMBER('Tom Bock'!C8)*(ABS('Tom Bock'!C8-$C8)&lt;VisitHrs/24)+('Tom Bock'!D8=$B8)*ISNUMBER('Tom Bock'!E8)*(ABS('Tom Bock'!E8-$C8)&lt;VisitHrs/24)+('Tom Bock'!F8=$B8)*ISNUMBER('Tom Bock'!G8)*(ABS('Tom Bock'!G8-$C8)&lt;VisitHrs/24)+(Jeremy!B8=$B8)*ISNUMBER(Jeremy!C8)*(ABS(Jeremy!C8-$C8)&lt;VisitHrs/24)+(Jeremy!D8=$B8)*ISNUMBER(Jeremy!E8)*(ABS(Jeremy!E8-$C8)&lt;VisitHrs/24)+(Jeremy!F8=$B8)*ISNUMBER(Jeremy!G8)*(ABS(Jeremy!G8-$C8)&lt;VisitHrs/24)+('Test Patient'!B8=$B8)*ISNUMBER('Test Patient'!C8)*(ABS('Test Patient'!C8-$C8)&lt;VisitHrs/24)+('Test Patient'!D8=$B8)*ISNUMBER('Test Patient'!E8)*(ABS('Test Patient'!E8-$C8)&lt;VisitHrs/24)+('Test Patient'!F8=$B8)*ISNUMBER('Test Patient'!G8)*(ABS('Test Patient'!G8-$C8)&lt;VisitHrs/24))-1)+('Anita Klesch'!$B8=$B8)*($C8&lt;DayEnd)*($C8+VisitHrs/24&gt;DayStart)+('Anita Klesch'!$C8=$B8)*((($C8+VisitHrs/24&gt;DayEnd)+($C8&lt;DayStart))&gt;0)+('Test Patient 2'!$B8=$B8)*($C8&lt;DayEnd)*($C8+VisitHrs/24&gt;DayStart)+('Test Patient 2'!$C8=$B8)*((($C8+VisitHrs/24&gt;DayEnd)+($C8&lt;DayStart))&gt;0)&gt;=1,1,0),0)</f>
        <v>0</v>
      </c>
      <c r="K8" s="12">
        <f>IF(AND($H8=1,$D8&lt;&gt;"",ISNUMBER($E8)),IF(((('Lucy Levene'!B8=$D8)*ISNUMBER('Lucy Levene'!C8)*(ABS('Lucy Levene'!C8-$E8)&lt;VisitHrs/24)+('Lucy Levene'!D8=$D8)*ISNUMBER('Lucy Levene'!E8)*(ABS('Lucy Levene'!E8-$E8)&lt;VisitHrs/24)+('Lucy Levene'!F8=$D8)*ISNUMBER('Lucy Levene'!G8)*(ABS('Lucy Levene'!G8-$E8)&lt;VisitHrs/24)+('Tom Bock'!B8=$D8)*ISNUMBER('Tom Bock'!C8)*(ABS('Tom Bock'!C8-$E8)&lt;VisitHrs/24)+('Tom Bock'!D8=$D8)*ISNUMBER('Tom Bock'!E8)*(ABS('Tom Bock'!E8-$E8)&lt;VisitHrs/24)+('Tom Bock'!F8=$D8)*ISNUMBER('Tom Bock'!G8)*(ABS('Tom Bock'!G8-$E8)&lt;VisitHrs/24)+(Jeremy!B8=$D8)*ISNUMBER(Jeremy!C8)*(ABS(Jeremy!C8-$E8)&lt;VisitHrs/24)+(Jeremy!D8=$D8)*ISNUMBER(Jeremy!E8)*(ABS(Jeremy!E8-$E8)&lt;VisitHrs/24)+(Jeremy!F8=$D8)*ISNUMBER(Jeremy!G8)*(ABS(Jeremy!G8-$E8)&lt;VisitHrs/24)+('Test Patient'!B8=$D8)*ISNUMBER('Test Patient'!C8)*(ABS('Test Patient'!C8-$E8)&lt;VisitHrs/24)+('Test Patient'!D8=$D8)*ISNUMBER('Test Patient'!E8)*(ABS('Test Patient'!E8-$E8)&lt;VisitHrs/24)+('Test Patient'!F8=$D8)*ISNUMBER('Test Patient'!G8)*(ABS('Test Patient'!G8-$E8)&lt;VisitHrs/24))-1)+('Anita Klesch'!$B8=$D8)*($E8&lt;DayEnd)*($E8+VisitHrs/24&gt;DayStart)+('Anita Klesch'!$C8=$D8)*((($E8+VisitHrs/24&gt;DayEnd)+($E8&lt;DayStart))&gt;0)+('Test Patient 2'!$B8=$D8)*($E8&lt;DayEnd)*($E8+VisitHrs/24&gt;DayStart)+('Test Patient 2'!$C8=$D8)*((($E8+VisitHrs/24&gt;DayEnd)+($E8&lt;DayStart))&gt;0)&gt;=1,1,0),0)</f>
        <v>0</v>
      </c>
      <c r="L8" s="12">
        <f>IF(AND($H8=1,$F8&lt;&gt;"",ISNUMBER($G8)),IF(((('Lucy Levene'!B8=$F8)*ISNUMBER('Lucy Levene'!C8)*(ABS('Lucy Levene'!C8-$G8)&lt;VisitHrs/24)+('Lucy Levene'!D8=$F8)*ISNUMBER('Lucy Levene'!E8)*(ABS('Lucy Levene'!E8-$G8)&lt;VisitHrs/24)+('Lucy Levene'!F8=$F8)*ISNUMBER('Lucy Levene'!G8)*(ABS('Lucy Levene'!G8-$G8)&lt;VisitHrs/24)+('Tom Bock'!B8=$F8)*ISNUMBER('Tom Bock'!C8)*(ABS('Tom Bock'!C8-$G8)&lt;VisitHrs/24)+('Tom Bock'!D8=$F8)*ISNUMBER('Tom Bock'!E8)*(ABS('Tom Bock'!E8-$G8)&lt;VisitHrs/24)+('Tom Bock'!F8=$F8)*ISNUMBER('Tom Bock'!G8)*(ABS('Tom Bock'!G8-$G8)&lt;VisitHrs/24)+(Jeremy!B8=$F8)*ISNUMBER(Jeremy!C8)*(ABS(Jeremy!C8-$G8)&lt;VisitHrs/24)+(Jeremy!D8=$F8)*ISNUMBER(Jeremy!E8)*(ABS(Jeremy!E8-$G8)&lt;VisitHrs/24)+(Jeremy!F8=$F8)*ISNUMBER(Jeremy!G8)*(ABS(Jeremy!G8-$G8)&lt;VisitHrs/24)+('Test Patient'!B8=$F8)*ISNUMBER('Test Patient'!C8)*(ABS('Test Patient'!C8-$G8)&lt;VisitHrs/24)+('Test Patient'!D8=$F8)*ISNUMBER('Test Patient'!E8)*(ABS('Test Patient'!E8-$G8)&lt;VisitHrs/24)+('Test Patient'!F8=$F8)*ISNUMBER('Test Patient'!G8)*(ABS('Test Patient'!G8-$G8)&lt;VisitHrs/24))-1)+('Anita Klesch'!$B8=$F8)*($G8&lt;DayEnd)*($G8+VisitHrs/24&gt;DayStart)+('Anita Klesch'!$C8=$F8)*((($G8+VisitHrs/24&gt;DayEnd)+($G8&lt;DayStart))&gt;0)+('Test Patient 2'!$B8=$F8)*($G8&lt;DayEnd)*($G8+VisitHrs/24&gt;DayStart)+('Test Patient 2'!$C8=$F8)*((($G8+VisitHrs/24&gt;DayEnd)+($G8&lt;DayStart))&gt;0)&gt;=1,1,0),0)</f>
        <v>0</v>
      </c>
      <c r="M8" s="12">
        <f t="shared" si="2"/>
        <v>0</v>
      </c>
      <c r="N8" s="12">
        <f t="shared" si="3"/>
        <v>0</v>
      </c>
      <c r="O8" s="12">
        <f t="shared" si="4"/>
        <v>0</v>
      </c>
    </row>
    <row r="9" spans="1:15" x14ac:dyDescent="0.2">
      <c r="A9" s="2">
        <f t="shared" si="5"/>
        <v>46215</v>
      </c>
      <c r="B9" s="3"/>
      <c r="C9" s="24"/>
      <c r="D9" s="19"/>
      <c r="E9" s="25"/>
      <c r="F9" s="19"/>
      <c r="G9" s="25"/>
      <c r="H9" s="12">
        <f t="shared" si="0"/>
        <v>1</v>
      </c>
      <c r="I9" s="12">
        <f t="shared" si="1"/>
        <v>0</v>
      </c>
      <c r="J9" s="12">
        <f>IF(AND($H9=1,$B9&lt;&gt;"",ISNUMBER($C9)),IF(((('Lucy Levene'!B9=$B9)*ISNUMBER('Lucy Levene'!C9)*(ABS('Lucy Levene'!C9-$C9)&lt;VisitHrs/24)+('Lucy Levene'!D9=$B9)*ISNUMBER('Lucy Levene'!E9)*(ABS('Lucy Levene'!E9-$C9)&lt;VisitHrs/24)+('Lucy Levene'!F9=$B9)*ISNUMBER('Lucy Levene'!G9)*(ABS('Lucy Levene'!G9-$C9)&lt;VisitHrs/24)+('Tom Bock'!B9=$B9)*ISNUMBER('Tom Bock'!C9)*(ABS('Tom Bock'!C9-$C9)&lt;VisitHrs/24)+('Tom Bock'!D9=$B9)*ISNUMBER('Tom Bock'!E9)*(ABS('Tom Bock'!E9-$C9)&lt;VisitHrs/24)+('Tom Bock'!F9=$B9)*ISNUMBER('Tom Bock'!G9)*(ABS('Tom Bock'!G9-$C9)&lt;VisitHrs/24)+(Jeremy!B9=$B9)*ISNUMBER(Jeremy!C9)*(ABS(Jeremy!C9-$C9)&lt;VisitHrs/24)+(Jeremy!D9=$B9)*ISNUMBER(Jeremy!E9)*(ABS(Jeremy!E9-$C9)&lt;VisitHrs/24)+(Jeremy!F9=$B9)*ISNUMBER(Jeremy!G9)*(ABS(Jeremy!G9-$C9)&lt;VisitHrs/24)+('Test Patient'!B9=$B9)*ISNUMBER('Test Patient'!C9)*(ABS('Test Patient'!C9-$C9)&lt;VisitHrs/24)+('Test Patient'!D9=$B9)*ISNUMBER('Test Patient'!E9)*(ABS('Test Patient'!E9-$C9)&lt;VisitHrs/24)+('Test Patient'!F9=$B9)*ISNUMBER('Test Patient'!G9)*(ABS('Test Patient'!G9-$C9)&lt;VisitHrs/24))-1)+('Anita Klesch'!$B9=$B9)*($C9&lt;DayEnd)*($C9+VisitHrs/24&gt;DayStart)+('Anita Klesch'!$C9=$B9)*((($C9+VisitHrs/24&gt;DayEnd)+($C9&lt;DayStart))&gt;0)+('Test Patient 2'!$B9=$B9)*($C9&lt;DayEnd)*($C9+VisitHrs/24&gt;DayStart)+('Test Patient 2'!$C9=$B9)*((($C9+VisitHrs/24&gt;DayEnd)+($C9&lt;DayStart))&gt;0)&gt;=1,1,0),0)</f>
        <v>0</v>
      </c>
      <c r="K9" s="12">
        <f>IF(AND($H9=1,$D9&lt;&gt;"",ISNUMBER($E9)),IF(((('Lucy Levene'!B9=$D9)*ISNUMBER('Lucy Levene'!C9)*(ABS('Lucy Levene'!C9-$E9)&lt;VisitHrs/24)+('Lucy Levene'!D9=$D9)*ISNUMBER('Lucy Levene'!E9)*(ABS('Lucy Levene'!E9-$E9)&lt;VisitHrs/24)+('Lucy Levene'!F9=$D9)*ISNUMBER('Lucy Levene'!G9)*(ABS('Lucy Levene'!G9-$E9)&lt;VisitHrs/24)+('Tom Bock'!B9=$D9)*ISNUMBER('Tom Bock'!C9)*(ABS('Tom Bock'!C9-$E9)&lt;VisitHrs/24)+('Tom Bock'!D9=$D9)*ISNUMBER('Tom Bock'!E9)*(ABS('Tom Bock'!E9-$E9)&lt;VisitHrs/24)+('Tom Bock'!F9=$D9)*ISNUMBER('Tom Bock'!G9)*(ABS('Tom Bock'!G9-$E9)&lt;VisitHrs/24)+(Jeremy!B9=$D9)*ISNUMBER(Jeremy!C9)*(ABS(Jeremy!C9-$E9)&lt;VisitHrs/24)+(Jeremy!D9=$D9)*ISNUMBER(Jeremy!E9)*(ABS(Jeremy!E9-$E9)&lt;VisitHrs/24)+(Jeremy!F9=$D9)*ISNUMBER(Jeremy!G9)*(ABS(Jeremy!G9-$E9)&lt;VisitHrs/24)+('Test Patient'!B9=$D9)*ISNUMBER('Test Patient'!C9)*(ABS('Test Patient'!C9-$E9)&lt;VisitHrs/24)+('Test Patient'!D9=$D9)*ISNUMBER('Test Patient'!E9)*(ABS('Test Patient'!E9-$E9)&lt;VisitHrs/24)+('Test Patient'!F9=$D9)*ISNUMBER('Test Patient'!G9)*(ABS('Test Patient'!G9-$E9)&lt;VisitHrs/24))-1)+('Anita Klesch'!$B9=$D9)*($E9&lt;DayEnd)*($E9+VisitHrs/24&gt;DayStart)+('Anita Klesch'!$C9=$D9)*((($E9+VisitHrs/24&gt;DayEnd)+($E9&lt;DayStart))&gt;0)+('Test Patient 2'!$B9=$D9)*($E9&lt;DayEnd)*($E9+VisitHrs/24&gt;DayStart)+('Test Patient 2'!$C9=$D9)*((($E9+VisitHrs/24&gt;DayEnd)+($E9&lt;DayStart))&gt;0)&gt;=1,1,0),0)</f>
        <v>0</v>
      </c>
      <c r="L9" s="12">
        <f>IF(AND($H9=1,$F9&lt;&gt;"",ISNUMBER($G9)),IF(((('Lucy Levene'!B9=$F9)*ISNUMBER('Lucy Levene'!C9)*(ABS('Lucy Levene'!C9-$G9)&lt;VisitHrs/24)+('Lucy Levene'!D9=$F9)*ISNUMBER('Lucy Levene'!E9)*(ABS('Lucy Levene'!E9-$G9)&lt;VisitHrs/24)+('Lucy Levene'!F9=$F9)*ISNUMBER('Lucy Levene'!G9)*(ABS('Lucy Levene'!G9-$G9)&lt;VisitHrs/24)+('Tom Bock'!B9=$F9)*ISNUMBER('Tom Bock'!C9)*(ABS('Tom Bock'!C9-$G9)&lt;VisitHrs/24)+('Tom Bock'!D9=$F9)*ISNUMBER('Tom Bock'!E9)*(ABS('Tom Bock'!E9-$G9)&lt;VisitHrs/24)+('Tom Bock'!F9=$F9)*ISNUMBER('Tom Bock'!G9)*(ABS('Tom Bock'!G9-$G9)&lt;VisitHrs/24)+(Jeremy!B9=$F9)*ISNUMBER(Jeremy!C9)*(ABS(Jeremy!C9-$G9)&lt;VisitHrs/24)+(Jeremy!D9=$F9)*ISNUMBER(Jeremy!E9)*(ABS(Jeremy!E9-$G9)&lt;VisitHrs/24)+(Jeremy!F9=$F9)*ISNUMBER(Jeremy!G9)*(ABS(Jeremy!G9-$G9)&lt;VisitHrs/24)+('Test Patient'!B9=$F9)*ISNUMBER('Test Patient'!C9)*(ABS('Test Patient'!C9-$G9)&lt;VisitHrs/24)+('Test Patient'!D9=$F9)*ISNUMBER('Test Patient'!E9)*(ABS('Test Patient'!E9-$G9)&lt;VisitHrs/24)+('Test Patient'!F9=$F9)*ISNUMBER('Test Patient'!G9)*(ABS('Test Patient'!G9-$G9)&lt;VisitHrs/24))-1)+('Anita Klesch'!$B9=$F9)*($G9&lt;DayEnd)*($G9+VisitHrs/24&gt;DayStart)+('Anita Klesch'!$C9=$F9)*((($G9+VisitHrs/24&gt;DayEnd)+($G9&lt;DayStart))&gt;0)+('Test Patient 2'!$B9=$F9)*($G9&lt;DayEnd)*($G9+VisitHrs/24&gt;DayStart)+('Test Patient 2'!$C9=$F9)*((($G9+VisitHrs/24&gt;DayEnd)+($G9&lt;DayStart))&gt;0)&gt;=1,1,0),0)</f>
        <v>0</v>
      </c>
      <c r="M9" s="12">
        <f t="shared" si="2"/>
        <v>0</v>
      </c>
      <c r="N9" s="12">
        <f t="shared" si="3"/>
        <v>0</v>
      </c>
      <c r="O9" s="12">
        <f t="shared" si="4"/>
        <v>0</v>
      </c>
    </row>
    <row r="10" spans="1:15" x14ac:dyDescent="0.2">
      <c r="A10" s="2">
        <f t="shared" si="5"/>
        <v>46216</v>
      </c>
      <c r="B10" s="3"/>
      <c r="C10" s="24"/>
      <c r="D10" s="19"/>
      <c r="E10" s="25"/>
      <c r="F10" s="19"/>
      <c r="G10" s="25"/>
      <c r="H10" s="12">
        <f t="shared" si="0"/>
        <v>1</v>
      </c>
      <c r="I10" s="12">
        <f t="shared" si="1"/>
        <v>0</v>
      </c>
      <c r="J10" s="12">
        <f>IF(AND($H10=1,$B10&lt;&gt;"",ISNUMBER($C10)),IF(((('Lucy Levene'!B10=$B10)*ISNUMBER('Lucy Levene'!C10)*(ABS('Lucy Levene'!C10-$C10)&lt;VisitHrs/24)+('Lucy Levene'!D10=$B10)*ISNUMBER('Lucy Levene'!E10)*(ABS('Lucy Levene'!E10-$C10)&lt;VisitHrs/24)+('Lucy Levene'!F10=$B10)*ISNUMBER('Lucy Levene'!G10)*(ABS('Lucy Levene'!G10-$C10)&lt;VisitHrs/24)+('Tom Bock'!B10=$B10)*ISNUMBER('Tom Bock'!C10)*(ABS('Tom Bock'!C10-$C10)&lt;VisitHrs/24)+('Tom Bock'!D10=$B10)*ISNUMBER('Tom Bock'!E10)*(ABS('Tom Bock'!E10-$C10)&lt;VisitHrs/24)+('Tom Bock'!F10=$B10)*ISNUMBER('Tom Bock'!G10)*(ABS('Tom Bock'!G10-$C10)&lt;VisitHrs/24)+(Jeremy!B10=$B10)*ISNUMBER(Jeremy!C10)*(ABS(Jeremy!C10-$C10)&lt;VisitHrs/24)+(Jeremy!D10=$B10)*ISNUMBER(Jeremy!E10)*(ABS(Jeremy!E10-$C10)&lt;VisitHrs/24)+(Jeremy!F10=$B10)*ISNUMBER(Jeremy!G10)*(ABS(Jeremy!G10-$C10)&lt;VisitHrs/24)+('Test Patient'!B10=$B10)*ISNUMBER('Test Patient'!C10)*(ABS('Test Patient'!C10-$C10)&lt;VisitHrs/24)+('Test Patient'!D10=$B10)*ISNUMBER('Test Patient'!E10)*(ABS('Test Patient'!E10-$C10)&lt;VisitHrs/24)+('Test Patient'!F10=$B10)*ISNUMBER('Test Patient'!G10)*(ABS('Test Patient'!G10-$C10)&lt;VisitHrs/24))-1)+('Anita Klesch'!$B10=$B10)*($C10&lt;DayEnd)*($C10+VisitHrs/24&gt;DayStart)+('Anita Klesch'!$C10=$B10)*((($C10+VisitHrs/24&gt;DayEnd)+($C10&lt;DayStart))&gt;0)+('Test Patient 2'!$B10=$B10)*($C10&lt;DayEnd)*($C10+VisitHrs/24&gt;DayStart)+('Test Patient 2'!$C10=$B10)*((($C10+VisitHrs/24&gt;DayEnd)+($C10&lt;DayStart))&gt;0)&gt;=1,1,0),0)</f>
        <v>0</v>
      </c>
      <c r="K10" s="12">
        <f>IF(AND($H10=1,$D10&lt;&gt;"",ISNUMBER($E10)),IF(((('Lucy Levene'!B10=$D10)*ISNUMBER('Lucy Levene'!C10)*(ABS('Lucy Levene'!C10-$E10)&lt;VisitHrs/24)+('Lucy Levene'!D10=$D10)*ISNUMBER('Lucy Levene'!E10)*(ABS('Lucy Levene'!E10-$E10)&lt;VisitHrs/24)+('Lucy Levene'!F10=$D10)*ISNUMBER('Lucy Levene'!G10)*(ABS('Lucy Levene'!G10-$E10)&lt;VisitHrs/24)+('Tom Bock'!B10=$D10)*ISNUMBER('Tom Bock'!C10)*(ABS('Tom Bock'!C10-$E10)&lt;VisitHrs/24)+('Tom Bock'!D10=$D10)*ISNUMBER('Tom Bock'!E10)*(ABS('Tom Bock'!E10-$E10)&lt;VisitHrs/24)+('Tom Bock'!F10=$D10)*ISNUMBER('Tom Bock'!G10)*(ABS('Tom Bock'!G10-$E10)&lt;VisitHrs/24)+(Jeremy!B10=$D10)*ISNUMBER(Jeremy!C10)*(ABS(Jeremy!C10-$E10)&lt;VisitHrs/24)+(Jeremy!D10=$D10)*ISNUMBER(Jeremy!E10)*(ABS(Jeremy!E10-$E10)&lt;VisitHrs/24)+(Jeremy!F10=$D10)*ISNUMBER(Jeremy!G10)*(ABS(Jeremy!G10-$E10)&lt;VisitHrs/24)+('Test Patient'!B10=$D10)*ISNUMBER('Test Patient'!C10)*(ABS('Test Patient'!C10-$E10)&lt;VisitHrs/24)+('Test Patient'!D10=$D10)*ISNUMBER('Test Patient'!E10)*(ABS('Test Patient'!E10-$E10)&lt;VisitHrs/24)+('Test Patient'!F10=$D10)*ISNUMBER('Test Patient'!G10)*(ABS('Test Patient'!G10-$E10)&lt;VisitHrs/24))-1)+('Anita Klesch'!$B10=$D10)*($E10&lt;DayEnd)*($E10+VisitHrs/24&gt;DayStart)+('Anita Klesch'!$C10=$D10)*((($E10+VisitHrs/24&gt;DayEnd)+($E10&lt;DayStart))&gt;0)+('Test Patient 2'!$B10=$D10)*($E10&lt;DayEnd)*($E10+VisitHrs/24&gt;DayStart)+('Test Patient 2'!$C10=$D10)*((($E10+VisitHrs/24&gt;DayEnd)+($E10&lt;DayStart))&gt;0)&gt;=1,1,0),0)</f>
        <v>0</v>
      </c>
      <c r="L10" s="12">
        <f>IF(AND($H10=1,$F10&lt;&gt;"",ISNUMBER($G10)),IF(((('Lucy Levene'!B10=$F10)*ISNUMBER('Lucy Levene'!C10)*(ABS('Lucy Levene'!C10-$G10)&lt;VisitHrs/24)+('Lucy Levene'!D10=$F10)*ISNUMBER('Lucy Levene'!E10)*(ABS('Lucy Levene'!E10-$G10)&lt;VisitHrs/24)+('Lucy Levene'!F10=$F10)*ISNUMBER('Lucy Levene'!G10)*(ABS('Lucy Levene'!G10-$G10)&lt;VisitHrs/24)+('Tom Bock'!B10=$F10)*ISNUMBER('Tom Bock'!C10)*(ABS('Tom Bock'!C10-$G10)&lt;VisitHrs/24)+('Tom Bock'!D10=$F10)*ISNUMBER('Tom Bock'!E10)*(ABS('Tom Bock'!E10-$G10)&lt;VisitHrs/24)+('Tom Bock'!F10=$F10)*ISNUMBER('Tom Bock'!G10)*(ABS('Tom Bock'!G10-$G10)&lt;VisitHrs/24)+(Jeremy!B10=$F10)*ISNUMBER(Jeremy!C10)*(ABS(Jeremy!C10-$G10)&lt;VisitHrs/24)+(Jeremy!D10=$F10)*ISNUMBER(Jeremy!E10)*(ABS(Jeremy!E10-$G10)&lt;VisitHrs/24)+(Jeremy!F10=$F10)*ISNUMBER(Jeremy!G10)*(ABS(Jeremy!G10-$G10)&lt;VisitHrs/24)+('Test Patient'!B10=$F10)*ISNUMBER('Test Patient'!C10)*(ABS('Test Patient'!C10-$G10)&lt;VisitHrs/24)+('Test Patient'!D10=$F10)*ISNUMBER('Test Patient'!E10)*(ABS('Test Patient'!E10-$G10)&lt;VisitHrs/24)+('Test Patient'!F10=$F10)*ISNUMBER('Test Patient'!G10)*(ABS('Test Patient'!G10-$G10)&lt;VisitHrs/24))-1)+('Anita Klesch'!$B10=$F10)*($G10&lt;DayEnd)*($G10+VisitHrs/24&gt;DayStart)+('Anita Klesch'!$C10=$F10)*((($G10+VisitHrs/24&gt;DayEnd)+($G10&lt;DayStart))&gt;0)+('Test Patient 2'!$B10=$F10)*($G10&lt;DayEnd)*($G10+VisitHrs/24&gt;DayStart)+('Test Patient 2'!$C10=$F10)*((($G10+VisitHrs/24&gt;DayEnd)+($G10&lt;DayStart))&gt;0)&gt;=1,1,0),0)</f>
        <v>0</v>
      </c>
      <c r="M10" s="12">
        <f t="shared" si="2"/>
        <v>0</v>
      </c>
      <c r="N10" s="12">
        <f t="shared" si="3"/>
        <v>0</v>
      </c>
      <c r="O10" s="12">
        <f t="shared" si="4"/>
        <v>0</v>
      </c>
    </row>
    <row r="11" spans="1:15" x14ac:dyDescent="0.2">
      <c r="A11" s="2">
        <f t="shared" si="5"/>
        <v>46217</v>
      </c>
      <c r="B11" s="3"/>
      <c r="C11" s="24"/>
      <c r="D11" s="19"/>
      <c r="E11" s="25"/>
      <c r="F11" s="19"/>
      <c r="G11" s="25"/>
      <c r="H11" s="12">
        <f t="shared" si="0"/>
        <v>1</v>
      </c>
      <c r="I11" s="12">
        <f t="shared" si="1"/>
        <v>0</v>
      </c>
      <c r="J11" s="12">
        <f>IF(AND($H11=1,$B11&lt;&gt;"",ISNUMBER($C11)),IF(((('Lucy Levene'!B11=$B11)*ISNUMBER('Lucy Levene'!C11)*(ABS('Lucy Levene'!C11-$C11)&lt;VisitHrs/24)+('Lucy Levene'!D11=$B11)*ISNUMBER('Lucy Levene'!E11)*(ABS('Lucy Levene'!E11-$C11)&lt;VisitHrs/24)+('Lucy Levene'!F11=$B11)*ISNUMBER('Lucy Levene'!G11)*(ABS('Lucy Levene'!G11-$C11)&lt;VisitHrs/24)+('Tom Bock'!B11=$B11)*ISNUMBER('Tom Bock'!C11)*(ABS('Tom Bock'!C11-$C11)&lt;VisitHrs/24)+('Tom Bock'!D11=$B11)*ISNUMBER('Tom Bock'!E11)*(ABS('Tom Bock'!E11-$C11)&lt;VisitHrs/24)+('Tom Bock'!F11=$B11)*ISNUMBER('Tom Bock'!G11)*(ABS('Tom Bock'!G11-$C11)&lt;VisitHrs/24)+(Jeremy!B11=$B11)*ISNUMBER(Jeremy!C11)*(ABS(Jeremy!C11-$C11)&lt;VisitHrs/24)+(Jeremy!D11=$B11)*ISNUMBER(Jeremy!E11)*(ABS(Jeremy!E11-$C11)&lt;VisitHrs/24)+(Jeremy!F11=$B11)*ISNUMBER(Jeremy!G11)*(ABS(Jeremy!G11-$C11)&lt;VisitHrs/24)+('Test Patient'!B11=$B11)*ISNUMBER('Test Patient'!C11)*(ABS('Test Patient'!C11-$C11)&lt;VisitHrs/24)+('Test Patient'!D11=$B11)*ISNUMBER('Test Patient'!E11)*(ABS('Test Patient'!E11-$C11)&lt;VisitHrs/24)+('Test Patient'!F11=$B11)*ISNUMBER('Test Patient'!G11)*(ABS('Test Patient'!G11-$C11)&lt;VisitHrs/24))-1)+('Anita Klesch'!$B11=$B11)*($C11&lt;DayEnd)*($C11+VisitHrs/24&gt;DayStart)+('Anita Klesch'!$C11=$B11)*((($C11+VisitHrs/24&gt;DayEnd)+($C11&lt;DayStart))&gt;0)+('Test Patient 2'!$B11=$B11)*($C11&lt;DayEnd)*($C11+VisitHrs/24&gt;DayStart)+('Test Patient 2'!$C11=$B11)*((($C11+VisitHrs/24&gt;DayEnd)+($C11&lt;DayStart))&gt;0)&gt;=1,1,0),0)</f>
        <v>0</v>
      </c>
      <c r="K11" s="12">
        <f>IF(AND($H11=1,$D11&lt;&gt;"",ISNUMBER($E11)),IF(((('Lucy Levene'!B11=$D11)*ISNUMBER('Lucy Levene'!C11)*(ABS('Lucy Levene'!C11-$E11)&lt;VisitHrs/24)+('Lucy Levene'!D11=$D11)*ISNUMBER('Lucy Levene'!E11)*(ABS('Lucy Levene'!E11-$E11)&lt;VisitHrs/24)+('Lucy Levene'!F11=$D11)*ISNUMBER('Lucy Levene'!G11)*(ABS('Lucy Levene'!G11-$E11)&lt;VisitHrs/24)+('Tom Bock'!B11=$D11)*ISNUMBER('Tom Bock'!C11)*(ABS('Tom Bock'!C11-$E11)&lt;VisitHrs/24)+('Tom Bock'!D11=$D11)*ISNUMBER('Tom Bock'!E11)*(ABS('Tom Bock'!E11-$E11)&lt;VisitHrs/24)+('Tom Bock'!F11=$D11)*ISNUMBER('Tom Bock'!G11)*(ABS('Tom Bock'!G11-$E11)&lt;VisitHrs/24)+(Jeremy!B11=$D11)*ISNUMBER(Jeremy!C11)*(ABS(Jeremy!C11-$E11)&lt;VisitHrs/24)+(Jeremy!D11=$D11)*ISNUMBER(Jeremy!E11)*(ABS(Jeremy!E11-$E11)&lt;VisitHrs/24)+(Jeremy!F11=$D11)*ISNUMBER(Jeremy!G11)*(ABS(Jeremy!G11-$E11)&lt;VisitHrs/24)+('Test Patient'!B11=$D11)*ISNUMBER('Test Patient'!C11)*(ABS('Test Patient'!C11-$E11)&lt;VisitHrs/24)+('Test Patient'!D11=$D11)*ISNUMBER('Test Patient'!E11)*(ABS('Test Patient'!E11-$E11)&lt;VisitHrs/24)+('Test Patient'!F11=$D11)*ISNUMBER('Test Patient'!G11)*(ABS('Test Patient'!G11-$E11)&lt;VisitHrs/24))-1)+('Anita Klesch'!$B11=$D11)*($E11&lt;DayEnd)*($E11+VisitHrs/24&gt;DayStart)+('Anita Klesch'!$C11=$D11)*((($E11+VisitHrs/24&gt;DayEnd)+($E11&lt;DayStart))&gt;0)+('Test Patient 2'!$B11=$D11)*($E11&lt;DayEnd)*($E11+VisitHrs/24&gt;DayStart)+('Test Patient 2'!$C11=$D11)*((($E11+VisitHrs/24&gt;DayEnd)+($E11&lt;DayStart))&gt;0)&gt;=1,1,0),0)</f>
        <v>0</v>
      </c>
      <c r="L11" s="12">
        <f>IF(AND($H11=1,$F11&lt;&gt;"",ISNUMBER($G11)),IF(((('Lucy Levene'!B11=$F11)*ISNUMBER('Lucy Levene'!C11)*(ABS('Lucy Levene'!C11-$G11)&lt;VisitHrs/24)+('Lucy Levene'!D11=$F11)*ISNUMBER('Lucy Levene'!E11)*(ABS('Lucy Levene'!E11-$G11)&lt;VisitHrs/24)+('Lucy Levene'!F11=$F11)*ISNUMBER('Lucy Levene'!G11)*(ABS('Lucy Levene'!G11-$G11)&lt;VisitHrs/24)+('Tom Bock'!B11=$F11)*ISNUMBER('Tom Bock'!C11)*(ABS('Tom Bock'!C11-$G11)&lt;VisitHrs/24)+('Tom Bock'!D11=$F11)*ISNUMBER('Tom Bock'!E11)*(ABS('Tom Bock'!E11-$G11)&lt;VisitHrs/24)+('Tom Bock'!F11=$F11)*ISNUMBER('Tom Bock'!G11)*(ABS('Tom Bock'!G11-$G11)&lt;VisitHrs/24)+(Jeremy!B11=$F11)*ISNUMBER(Jeremy!C11)*(ABS(Jeremy!C11-$G11)&lt;VisitHrs/24)+(Jeremy!D11=$F11)*ISNUMBER(Jeremy!E11)*(ABS(Jeremy!E11-$G11)&lt;VisitHrs/24)+(Jeremy!F11=$F11)*ISNUMBER(Jeremy!G11)*(ABS(Jeremy!G11-$G11)&lt;VisitHrs/24)+('Test Patient'!B11=$F11)*ISNUMBER('Test Patient'!C11)*(ABS('Test Patient'!C11-$G11)&lt;VisitHrs/24)+('Test Patient'!D11=$F11)*ISNUMBER('Test Patient'!E11)*(ABS('Test Patient'!E11-$G11)&lt;VisitHrs/24)+('Test Patient'!F11=$F11)*ISNUMBER('Test Patient'!G11)*(ABS('Test Patient'!G11-$G11)&lt;VisitHrs/24))-1)+('Anita Klesch'!$B11=$F11)*($G11&lt;DayEnd)*($G11+VisitHrs/24&gt;DayStart)+('Anita Klesch'!$C11=$F11)*((($G11+VisitHrs/24&gt;DayEnd)+($G11&lt;DayStart))&gt;0)+('Test Patient 2'!$B11=$F11)*($G11&lt;DayEnd)*($G11+VisitHrs/24&gt;DayStart)+('Test Patient 2'!$C11=$F11)*((($G11+VisitHrs/24&gt;DayEnd)+($G11&lt;DayStart))&gt;0)&gt;=1,1,0),0)</f>
        <v>0</v>
      </c>
      <c r="M11" s="12">
        <f t="shared" si="2"/>
        <v>0</v>
      </c>
      <c r="N11" s="12">
        <f t="shared" si="3"/>
        <v>0</v>
      </c>
      <c r="O11" s="12">
        <f t="shared" si="4"/>
        <v>0</v>
      </c>
    </row>
    <row r="12" spans="1:15" x14ac:dyDescent="0.2">
      <c r="A12" s="2">
        <f t="shared" si="5"/>
        <v>46218</v>
      </c>
      <c r="B12" s="3"/>
      <c r="C12" s="24"/>
      <c r="D12" s="19"/>
      <c r="E12" s="25"/>
      <c r="F12" s="19"/>
      <c r="G12" s="25"/>
      <c r="H12" s="12">
        <f t="shared" si="0"/>
        <v>1</v>
      </c>
      <c r="I12" s="12">
        <f t="shared" si="1"/>
        <v>0</v>
      </c>
      <c r="J12" s="12">
        <f>IF(AND($H12=1,$B12&lt;&gt;"",ISNUMBER($C12)),IF(((('Lucy Levene'!B12=$B12)*ISNUMBER('Lucy Levene'!C12)*(ABS('Lucy Levene'!C12-$C12)&lt;VisitHrs/24)+('Lucy Levene'!D12=$B12)*ISNUMBER('Lucy Levene'!E12)*(ABS('Lucy Levene'!E12-$C12)&lt;VisitHrs/24)+('Lucy Levene'!F12=$B12)*ISNUMBER('Lucy Levene'!G12)*(ABS('Lucy Levene'!G12-$C12)&lt;VisitHrs/24)+('Tom Bock'!B12=$B12)*ISNUMBER('Tom Bock'!C12)*(ABS('Tom Bock'!C12-$C12)&lt;VisitHrs/24)+('Tom Bock'!D12=$B12)*ISNUMBER('Tom Bock'!E12)*(ABS('Tom Bock'!E12-$C12)&lt;VisitHrs/24)+('Tom Bock'!F12=$B12)*ISNUMBER('Tom Bock'!G12)*(ABS('Tom Bock'!G12-$C12)&lt;VisitHrs/24)+(Jeremy!B12=$B12)*ISNUMBER(Jeremy!C12)*(ABS(Jeremy!C12-$C12)&lt;VisitHrs/24)+(Jeremy!D12=$B12)*ISNUMBER(Jeremy!E12)*(ABS(Jeremy!E12-$C12)&lt;VisitHrs/24)+(Jeremy!F12=$B12)*ISNUMBER(Jeremy!G12)*(ABS(Jeremy!G12-$C12)&lt;VisitHrs/24)+('Test Patient'!B12=$B12)*ISNUMBER('Test Patient'!C12)*(ABS('Test Patient'!C12-$C12)&lt;VisitHrs/24)+('Test Patient'!D12=$B12)*ISNUMBER('Test Patient'!E12)*(ABS('Test Patient'!E12-$C12)&lt;VisitHrs/24)+('Test Patient'!F12=$B12)*ISNUMBER('Test Patient'!G12)*(ABS('Test Patient'!G12-$C12)&lt;VisitHrs/24))-1)+('Anita Klesch'!$B12=$B12)*($C12&lt;DayEnd)*($C12+VisitHrs/24&gt;DayStart)+('Anita Klesch'!$C12=$B12)*((($C12+VisitHrs/24&gt;DayEnd)+($C12&lt;DayStart))&gt;0)+('Test Patient 2'!$B12=$B12)*($C12&lt;DayEnd)*($C12+VisitHrs/24&gt;DayStart)+('Test Patient 2'!$C12=$B12)*((($C12+VisitHrs/24&gt;DayEnd)+($C12&lt;DayStart))&gt;0)&gt;=1,1,0),0)</f>
        <v>0</v>
      </c>
      <c r="K12" s="12">
        <f>IF(AND($H12=1,$D12&lt;&gt;"",ISNUMBER($E12)),IF(((('Lucy Levene'!B12=$D12)*ISNUMBER('Lucy Levene'!C12)*(ABS('Lucy Levene'!C12-$E12)&lt;VisitHrs/24)+('Lucy Levene'!D12=$D12)*ISNUMBER('Lucy Levene'!E12)*(ABS('Lucy Levene'!E12-$E12)&lt;VisitHrs/24)+('Lucy Levene'!F12=$D12)*ISNUMBER('Lucy Levene'!G12)*(ABS('Lucy Levene'!G12-$E12)&lt;VisitHrs/24)+('Tom Bock'!B12=$D12)*ISNUMBER('Tom Bock'!C12)*(ABS('Tom Bock'!C12-$E12)&lt;VisitHrs/24)+('Tom Bock'!D12=$D12)*ISNUMBER('Tom Bock'!E12)*(ABS('Tom Bock'!E12-$E12)&lt;VisitHrs/24)+('Tom Bock'!F12=$D12)*ISNUMBER('Tom Bock'!G12)*(ABS('Tom Bock'!G12-$E12)&lt;VisitHrs/24)+(Jeremy!B12=$D12)*ISNUMBER(Jeremy!C12)*(ABS(Jeremy!C12-$E12)&lt;VisitHrs/24)+(Jeremy!D12=$D12)*ISNUMBER(Jeremy!E12)*(ABS(Jeremy!E12-$E12)&lt;VisitHrs/24)+(Jeremy!F12=$D12)*ISNUMBER(Jeremy!G12)*(ABS(Jeremy!G12-$E12)&lt;VisitHrs/24)+('Test Patient'!B12=$D12)*ISNUMBER('Test Patient'!C12)*(ABS('Test Patient'!C12-$E12)&lt;VisitHrs/24)+('Test Patient'!D12=$D12)*ISNUMBER('Test Patient'!E12)*(ABS('Test Patient'!E12-$E12)&lt;VisitHrs/24)+('Test Patient'!F12=$D12)*ISNUMBER('Test Patient'!G12)*(ABS('Test Patient'!G12-$E12)&lt;VisitHrs/24))-1)+('Anita Klesch'!$B12=$D12)*($E12&lt;DayEnd)*($E12+VisitHrs/24&gt;DayStart)+('Anita Klesch'!$C12=$D12)*((($E12+VisitHrs/24&gt;DayEnd)+($E12&lt;DayStart))&gt;0)+('Test Patient 2'!$B12=$D12)*($E12&lt;DayEnd)*($E12+VisitHrs/24&gt;DayStart)+('Test Patient 2'!$C12=$D12)*((($E12+VisitHrs/24&gt;DayEnd)+($E12&lt;DayStart))&gt;0)&gt;=1,1,0),0)</f>
        <v>0</v>
      </c>
      <c r="L12" s="12">
        <f>IF(AND($H12=1,$F12&lt;&gt;"",ISNUMBER($G12)),IF(((('Lucy Levene'!B12=$F12)*ISNUMBER('Lucy Levene'!C12)*(ABS('Lucy Levene'!C12-$G12)&lt;VisitHrs/24)+('Lucy Levene'!D12=$F12)*ISNUMBER('Lucy Levene'!E12)*(ABS('Lucy Levene'!E12-$G12)&lt;VisitHrs/24)+('Lucy Levene'!F12=$F12)*ISNUMBER('Lucy Levene'!G12)*(ABS('Lucy Levene'!G12-$G12)&lt;VisitHrs/24)+('Tom Bock'!B12=$F12)*ISNUMBER('Tom Bock'!C12)*(ABS('Tom Bock'!C12-$G12)&lt;VisitHrs/24)+('Tom Bock'!D12=$F12)*ISNUMBER('Tom Bock'!E12)*(ABS('Tom Bock'!E12-$G12)&lt;VisitHrs/24)+('Tom Bock'!F12=$F12)*ISNUMBER('Tom Bock'!G12)*(ABS('Tom Bock'!G12-$G12)&lt;VisitHrs/24)+(Jeremy!B12=$F12)*ISNUMBER(Jeremy!C12)*(ABS(Jeremy!C12-$G12)&lt;VisitHrs/24)+(Jeremy!D12=$F12)*ISNUMBER(Jeremy!E12)*(ABS(Jeremy!E12-$G12)&lt;VisitHrs/24)+(Jeremy!F12=$F12)*ISNUMBER(Jeremy!G12)*(ABS(Jeremy!G12-$G12)&lt;VisitHrs/24)+('Test Patient'!B12=$F12)*ISNUMBER('Test Patient'!C12)*(ABS('Test Patient'!C12-$G12)&lt;VisitHrs/24)+('Test Patient'!D12=$F12)*ISNUMBER('Test Patient'!E12)*(ABS('Test Patient'!E12-$G12)&lt;VisitHrs/24)+('Test Patient'!F12=$F12)*ISNUMBER('Test Patient'!G12)*(ABS('Test Patient'!G12-$G12)&lt;VisitHrs/24))-1)+('Anita Klesch'!$B12=$F12)*($G12&lt;DayEnd)*($G12+VisitHrs/24&gt;DayStart)+('Anita Klesch'!$C12=$F12)*((($G12+VisitHrs/24&gt;DayEnd)+($G12&lt;DayStart))&gt;0)+('Test Patient 2'!$B12=$F12)*($G12&lt;DayEnd)*($G12+VisitHrs/24&gt;DayStart)+('Test Patient 2'!$C12=$F12)*((($G12+VisitHrs/24&gt;DayEnd)+($G12&lt;DayStart))&gt;0)&gt;=1,1,0),0)</f>
        <v>0</v>
      </c>
      <c r="M12" s="12">
        <f t="shared" si="2"/>
        <v>0</v>
      </c>
      <c r="N12" s="12">
        <f t="shared" si="3"/>
        <v>0</v>
      </c>
      <c r="O12" s="12">
        <f t="shared" si="4"/>
        <v>0</v>
      </c>
    </row>
    <row r="13" spans="1:15" x14ac:dyDescent="0.2">
      <c r="A13" s="2">
        <f t="shared" si="5"/>
        <v>46219</v>
      </c>
      <c r="B13" s="3"/>
      <c r="C13" s="24"/>
      <c r="D13" s="19"/>
      <c r="E13" s="25"/>
      <c r="F13" s="19"/>
      <c r="G13" s="25"/>
      <c r="H13" s="12">
        <f t="shared" si="0"/>
        <v>1</v>
      </c>
      <c r="I13" s="12">
        <f t="shared" si="1"/>
        <v>0</v>
      </c>
      <c r="J13" s="12">
        <f>IF(AND($H13=1,$B13&lt;&gt;"",ISNUMBER($C13)),IF(((('Lucy Levene'!B13=$B13)*ISNUMBER('Lucy Levene'!C13)*(ABS('Lucy Levene'!C13-$C13)&lt;VisitHrs/24)+('Lucy Levene'!D13=$B13)*ISNUMBER('Lucy Levene'!E13)*(ABS('Lucy Levene'!E13-$C13)&lt;VisitHrs/24)+('Lucy Levene'!F13=$B13)*ISNUMBER('Lucy Levene'!G13)*(ABS('Lucy Levene'!G13-$C13)&lt;VisitHrs/24)+('Tom Bock'!B13=$B13)*ISNUMBER('Tom Bock'!C13)*(ABS('Tom Bock'!C13-$C13)&lt;VisitHrs/24)+('Tom Bock'!D13=$B13)*ISNUMBER('Tom Bock'!E13)*(ABS('Tom Bock'!E13-$C13)&lt;VisitHrs/24)+('Tom Bock'!F13=$B13)*ISNUMBER('Tom Bock'!G13)*(ABS('Tom Bock'!G13-$C13)&lt;VisitHrs/24)+(Jeremy!B13=$B13)*ISNUMBER(Jeremy!C13)*(ABS(Jeremy!C13-$C13)&lt;VisitHrs/24)+(Jeremy!D13=$B13)*ISNUMBER(Jeremy!E13)*(ABS(Jeremy!E13-$C13)&lt;VisitHrs/24)+(Jeremy!F13=$B13)*ISNUMBER(Jeremy!G13)*(ABS(Jeremy!G13-$C13)&lt;VisitHrs/24)+('Test Patient'!B13=$B13)*ISNUMBER('Test Patient'!C13)*(ABS('Test Patient'!C13-$C13)&lt;VisitHrs/24)+('Test Patient'!D13=$B13)*ISNUMBER('Test Patient'!E13)*(ABS('Test Patient'!E13-$C13)&lt;VisitHrs/24)+('Test Patient'!F13=$B13)*ISNUMBER('Test Patient'!G13)*(ABS('Test Patient'!G13-$C13)&lt;VisitHrs/24))-1)+('Anita Klesch'!$B13=$B13)*($C13&lt;DayEnd)*($C13+VisitHrs/24&gt;DayStart)+('Anita Klesch'!$C13=$B13)*((($C13+VisitHrs/24&gt;DayEnd)+($C13&lt;DayStart))&gt;0)+('Test Patient 2'!$B13=$B13)*($C13&lt;DayEnd)*($C13+VisitHrs/24&gt;DayStart)+('Test Patient 2'!$C13=$B13)*((($C13+VisitHrs/24&gt;DayEnd)+($C13&lt;DayStart))&gt;0)&gt;=1,1,0),0)</f>
        <v>0</v>
      </c>
      <c r="K13" s="12">
        <f>IF(AND($H13=1,$D13&lt;&gt;"",ISNUMBER($E13)),IF(((('Lucy Levene'!B13=$D13)*ISNUMBER('Lucy Levene'!C13)*(ABS('Lucy Levene'!C13-$E13)&lt;VisitHrs/24)+('Lucy Levene'!D13=$D13)*ISNUMBER('Lucy Levene'!E13)*(ABS('Lucy Levene'!E13-$E13)&lt;VisitHrs/24)+('Lucy Levene'!F13=$D13)*ISNUMBER('Lucy Levene'!G13)*(ABS('Lucy Levene'!G13-$E13)&lt;VisitHrs/24)+('Tom Bock'!B13=$D13)*ISNUMBER('Tom Bock'!C13)*(ABS('Tom Bock'!C13-$E13)&lt;VisitHrs/24)+('Tom Bock'!D13=$D13)*ISNUMBER('Tom Bock'!E13)*(ABS('Tom Bock'!E13-$E13)&lt;VisitHrs/24)+('Tom Bock'!F13=$D13)*ISNUMBER('Tom Bock'!G13)*(ABS('Tom Bock'!G13-$E13)&lt;VisitHrs/24)+(Jeremy!B13=$D13)*ISNUMBER(Jeremy!C13)*(ABS(Jeremy!C13-$E13)&lt;VisitHrs/24)+(Jeremy!D13=$D13)*ISNUMBER(Jeremy!E13)*(ABS(Jeremy!E13-$E13)&lt;VisitHrs/24)+(Jeremy!F13=$D13)*ISNUMBER(Jeremy!G13)*(ABS(Jeremy!G13-$E13)&lt;VisitHrs/24)+('Test Patient'!B13=$D13)*ISNUMBER('Test Patient'!C13)*(ABS('Test Patient'!C13-$E13)&lt;VisitHrs/24)+('Test Patient'!D13=$D13)*ISNUMBER('Test Patient'!E13)*(ABS('Test Patient'!E13-$E13)&lt;VisitHrs/24)+('Test Patient'!F13=$D13)*ISNUMBER('Test Patient'!G13)*(ABS('Test Patient'!G13-$E13)&lt;VisitHrs/24))-1)+('Anita Klesch'!$B13=$D13)*($E13&lt;DayEnd)*($E13+VisitHrs/24&gt;DayStart)+('Anita Klesch'!$C13=$D13)*((($E13+VisitHrs/24&gt;DayEnd)+($E13&lt;DayStart))&gt;0)+('Test Patient 2'!$B13=$D13)*($E13&lt;DayEnd)*($E13+VisitHrs/24&gt;DayStart)+('Test Patient 2'!$C13=$D13)*((($E13+VisitHrs/24&gt;DayEnd)+($E13&lt;DayStart))&gt;0)&gt;=1,1,0),0)</f>
        <v>0</v>
      </c>
      <c r="L13" s="12">
        <f>IF(AND($H13=1,$F13&lt;&gt;"",ISNUMBER($G13)),IF(((('Lucy Levene'!B13=$F13)*ISNUMBER('Lucy Levene'!C13)*(ABS('Lucy Levene'!C13-$G13)&lt;VisitHrs/24)+('Lucy Levene'!D13=$F13)*ISNUMBER('Lucy Levene'!E13)*(ABS('Lucy Levene'!E13-$G13)&lt;VisitHrs/24)+('Lucy Levene'!F13=$F13)*ISNUMBER('Lucy Levene'!G13)*(ABS('Lucy Levene'!G13-$G13)&lt;VisitHrs/24)+('Tom Bock'!B13=$F13)*ISNUMBER('Tom Bock'!C13)*(ABS('Tom Bock'!C13-$G13)&lt;VisitHrs/24)+('Tom Bock'!D13=$F13)*ISNUMBER('Tom Bock'!E13)*(ABS('Tom Bock'!E13-$G13)&lt;VisitHrs/24)+('Tom Bock'!F13=$F13)*ISNUMBER('Tom Bock'!G13)*(ABS('Tom Bock'!G13-$G13)&lt;VisitHrs/24)+(Jeremy!B13=$F13)*ISNUMBER(Jeremy!C13)*(ABS(Jeremy!C13-$G13)&lt;VisitHrs/24)+(Jeremy!D13=$F13)*ISNUMBER(Jeremy!E13)*(ABS(Jeremy!E13-$G13)&lt;VisitHrs/24)+(Jeremy!F13=$F13)*ISNUMBER(Jeremy!G13)*(ABS(Jeremy!G13-$G13)&lt;VisitHrs/24)+('Test Patient'!B13=$F13)*ISNUMBER('Test Patient'!C13)*(ABS('Test Patient'!C13-$G13)&lt;VisitHrs/24)+('Test Patient'!D13=$F13)*ISNUMBER('Test Patient'!E13)*(ABS('Test Patient'!E13-$G13)&lt;VisitHrs/24)+('Test Patient'!F13=$F13)*ISNUMBER('Test Patient'!G13)*(ABS('Test Patient'!G13-$G13)&lt;VisitHrs/24))-1)+('Anita Klesch'!$B13=$F13)*($G13&lt;DayEnd)*($G13+VisitHrs/24&gt;DayStart)+('Anita Klesch'!$C13=$F13)*((($G13+VisitHrs/24&gt;DayEnd)+($G13&lt;DayStart))&gt;0)+('Test Patient 2'!$B13=$F13)*($G13&lt;DayEnd)*($G13+VisitHrs/24&gt;DayStart)+('Test Patient 2'!$C13=$F13)*((($G13+VisitHrs/24&gt;DayEnd)+($G13&lt;DayStart))&gt;0)&gt;=1,1,0),0)</f>
        <v>0</v>
      </c>
      <c r="M13" s="12">
        <f t="shared" si="2"/>
        <v>0</v>
      </c>
      <c r="N13" s="12">
        <f t="shared" si="3"/>
        <v>0</v>
      </c>
      <c r="O13" s="12">
        <f t="shared" si="4"/>
        <v>0</v>
      </c>
    </row>
    <row r="14" spans="1:15" x14ac:dyDescent="0.2">
      <c r="A14" s="2">
        <f t="shared" si="5"/>
        <v>46220</v>
      </c>
      <c r="B14" s="3"/>
      <c r="C14" s="24"/>
      <c r="D14" s="19"/>
      <c r="E14" s="25"/>
      <c r="F14" s="19"/>
      <c r="G14" s="25"/>
      <c r="H14" s="12">
        <f t="shared" si="0"/>
        <v>1</v>
      </c>
      <c r="I14" s="12">
        <f t="shared" si="1"/>
        <v>0</v>
      </c>
      <c r="J14" s="12">
        <f>IF(AND($H14=1,$B14&lt;&gt;"",ISNUMBER($C14)),IF(((('Lucy Levene'!B14=$B14)*ISNUMBER('Lucy Levene'!C14)*(ABS('Lucy Levene'!C14-$C14)&lt;VisitHrs/24)+('Lucy Levene'!D14=$B14)*ISNUMBER('Lucy Levene'!E14)*(ABS('Lucy Levene'!E14-$C14)&lt;VisitHrs/24)+('Lucy Levene'!F14=$B14)*ISNUMBER('Lucy Levene'!G14)*(ABS('Lucy Levene'!G14-$C14)&lt;VisitHrs/24)+('Tom Bock'!B14=$B14)*ISNUMBER('Tom Bock'!C14)*(ABS('Tom Bock'!C14-$C14)&lt;VisitHrs/24)+('Tom Bock'!D14=$B14)*ISNUMBER('Tom Bock'!E14)*(ABS('Tom Bock'!E14-$C14)&lt;VisitHrs/24)+('Tom Bock'!F14=$B14)*ISNUMBER('Tom Bock'!G14)*(ABS('Tom Bock'!G14-$C14)&lt;VisitHrs/24)+(Jeremy!B14=$B14)*ISNUMBER(Jeremy!C14)*(ABS(Jeremy!C14-$C14)&lt;VisitHrs/24)+(Jeremy!D14=$B14)*ISNUMBER(Jeremy!E14)*(ABS(Jeremy!E14-$C14)&lt;VisitHrs/24)+(Jeremy!F14=$B14)*ISNUMBER(Jeremy!G14)*(ABS(Jeremy!G14-$C14)&lt;VisitHrs/24)+('Test Patient'!B14=$B14)*ISNUMBER('Test Patient'!C14)*(ABS('Test Patient'!C14-$C14)&lt;VisitHrs/24)+('Test Patient'!D14=$B14)*ISNUMBER('Test Patient'!E14)*(ABS('Test Patient'!E14-$C14)&lt;VisitHrs/24)+('Test Patient'!F14=$B14)*ISNUMBER('Test Patient'!G14)*(ABS('Test Patient'!G14-$C14)&lt;VisitHrs/24))-1)+('Anita Klesch'!$B14=$B14)*($C14&lt;DayEnd)*($C14+VisitHrs/24&gt;DayStart)+('Anita Klesch'!$C14=$B14)*((($C14+VisitHrs/24&gt;DayEnd)+($C14&lt;DayStart))&gt;0)+('Test Patient 2'!$B14=$B14)*($C14&lt;DayEnd)*($C14+VisitHrs/24&gt;DayStart)+('Test Patient 2'!$C14=$B14)*((($C14+VisitHrs/24&gt;DayEnd)+($C14&lt;DayStart))&gt;0)&gt;=1,1,0),0)</f>
        <v>0</v>
      </c>
      <c r="K14" s="12">
        <f>IF(AND($H14=1,$D14&lt;&gt;"",ISNUMBER($E14)),IF(((('Lucy Levene'!B14=$D14)*ISNUMBER('Lucy Levene'!C14)*(ABS('Lucy Levene'!C14-$E14)&lt;VisitHrs/24)+('Lucy Levene'!D14=$D14)*ISNUMBER('Lucy Levene'!E14)*(ABS('Lucy Levene'!E14-$E14)&lt;VisitHrs/24)+('Lucy Levene'!F14=$D14)*ISNUMBER('Lucy Levene'!G14)*(ABS('Lucy Levene'!G14-$E14)&lt;VisitHrs/24)+('Tom Bock'!B14=$D14)*ISNUMBER('Tom Bock'!C14)*(ABS('Tom Bock'!C14-$E14)&lt;VisitHrs/24)+('Tom Bock'!D14=$D14)*ISNUMBER('Tom Bock'!E14)*(ABS('Tom Bock'!E14-$E14)&lt;VisitHrs/24)+('Tom Bock'!F14=$D14)*ISNUMBER('Tom Bock'!G14)*(ABS('Tom Bock'!G14-$E14)&lt;VisitHrs/24)+(Jeremy!B14=$D14)*ISNUMBER(Jeremy!C14)*(ABS(Jeremy!C14-$E14)&lt;VisitHrs/24)+(Jeremy!D14=$D14)*ISNUMBER(Jeremy!E14)*(ABS(Jeremy!E14-$E14)&lt;VisitHrs/24)+(Jeremy!F14=$D14)*ISNUMBER(Jeremy!G14)*(ABS(Jeremy!G14-$E14)&lt;VisitHrs/24)+('Test Patient'!B14=$D14)*ISNUMBER('Test Patient'!C14)*(ABS('Test Patient'!C14-$E14)&lt;VisitHrs/24)+('Test Patient'!D14=$D14)*ISNUMBER('Test Patient'!E14)*(ABS('Test Patient'!E14-$E14)&lt;VisitHrs/24)+('Test Patient'!F14=$D14)*ISNUMBER('Test Patient'!G14)*(ABS('Test Patient'!G14-$E14)&lt;VisitHrs/24))-1)+('Anita Klesch'!$B14=$D14)*($E14&lt;DayEnd)*($E14+VisitHrs/24&gt;DayStart)+('Anita Klesch'!$C14=$D14)*((($E14+VisitHrs/24&gt;DayEnd)+($E14&lt;DayStart))&gt;0)+('Test Patient 2'!$B14=$D14)*($E14&lt;DayEnd)*($E14+VisitHrs/24&gt;DayStart)+('Test Patient 2'!$C14=$D14)*((($E14+VisitHrs/24&gt;DayEnd)+($E14&lt;DayStart))&gt;0)&gt;=1,1,0),0)</f>
        <v>0</v>
      </c>
      <c r="L14" s="12">
        <f>IF(AND($H14=1,$F14&lt;&gt;"",ISNUMBER($G14)),IF(((('Lucy Levene'!B14=$F14)*ISNUMBER('Lucy Levene'!C14)*(ABS('Lucy Levene'!C14-$G14)&lt;VisitHrs/24)+('Lucy Levene'!D14=$F14)*ISNUMBER('Lucy Levene'!E14)*(ABS('Lucy Levene'!E14-$G14)&lt;VisitHrs/24)+('Lucy Levene'!F14=$F14)*ISNUMBER('Lucy Levene'!G14)*(ABS('Lucy Levene'!G14-$G14)&lt;VisitHrs/24)+('Tom Bock'!B14=$F14)*ISNUMBER('Tom Bock'!C14)*(ABS('Tom Bock'!C14-$G14)&lt;VisitHrs/24)+('Tom Bock'!D14=$F14)*ISNUMBER('Tom Bock'!E14)*(ABS('Tom Bock'!E14-$G14)&lt;VisitHrs/24)+('Tom Bock'!F14=$F14)*ISNUMBER('Tom Bock'!G14)*(ABS('Tom Bock'!G14-$G14)&lt;VisitHrs/24)+(Jeremy!B14=$F14)*ISNUMBER(Jeremy!C14)*(ABS(Jeremy!C14-$G14)&lt;VisitHrs/24)+(Jeremy!D14=$F14)*ISNUMBER(Jeremy!E14)*(ABS(Jeremy!E14-$G14)&lt;VisitHrs/24)+(Jeremy!F14=$F14)*ISNUMBER(Jeremy!G14)*(ABS(Jeremy!G14-$G14)&lt;VisitHrs/24)+('Test Patient'!B14=$F14)*ISNUMBER('Test Patient'!C14)*(ABS('Test Patient'!C14-$G14)&lt;VisitHrs/24)+('Test Patient'!D14=$F14)*ISNUMBER('Test Patient'!E14)*(ABS('Test Patient'!E14-$G14)&lt;VisitHrs/24)+('Test Patient'!F14=$F14)*ISNUMBER('Test Patient'!G14)*(ABS('Test Patient'!G14-$G14)&lt;VisitHrs/24))-1)+('Anita Klesch'!$B14=$F14)*($G14&lt;DayEnd)*($G14+VisitHrs/24&gt;DayStart)+('Anita Klesch'!$C14=$F14)*((($G14+VisitHrs/24&gt;DayEnd)+($G14&lt;DayStart))&gt;0)+('Test Patient 2'!$B14=$F14)*($G14&lt;DayEnd)*($G14+VisitHrs/24&gt;DayStart)+('Test Patient 2'!$C14=$F14)*((($G14+VisitHrs/24&gt;DayEnd)+($G14&lt;DayStart))&gt;0)&gt;=1,1,0),0)</f>
        <v>0</v>
      </c>
      <c r="M14" s="12">
        <f t="shared" si="2"/>
        <v>0</v>
      </c>
      <c r="N14" s="12">
        <f t="shared" si="3"/>
        <v>0</v>
      </c>
      <c r="O14" s="12">
        <f t="shared" si="4"/>
        <v>0</v>
      </c>
    </row>
    <row r="15" spans="1:15" x14ac:dyDescent="0.2">
      <c r="A15" s="2">
        <f t="shared" si="5"/>
        <v>46221</v>
      </c>
      <c r="B15" s="3"/>
      <c r="C15" s="24"/>
      <c r="D15" s="19"/>
      <c r="E15" s="25"/>
      <c r="F15" s="19"/>
      <c r="G15" s="25"/>
      <c r="H15" s="12">
        <f t="shared" si="0"/>
        <v>1</v>
      </c>
      <c r="I15" s="12">
        <f t="shared" si="1"/>
        <v>0</v>
      </c>
      <c r="J15" s="12">
        <f>IF(AND($H15=1,$B15&lt;&gt;"",ISNUMBER($C15)),IF(((('Lucy Levene'!B15=$B15)*ISNUMBER('Lucy Levene'!C15)*(ABS('Lucy Levene'!C15-$C15)&lt;VisitHrs/24)+('Lucy Levene'!D15=$B15)*ISNUMBER('Lucy Levene'!E15)*(ABS('Lucy Levene'!E15-$C15)&lt;VisitHrs/24)+('Lucy Levene'!F15=$B15)*ISNUMBER('Lucy Levene'!G15)*(ABS('Lucy Levene'!G15-$C15)&lt;VisitHrs/24)+('Tom Bock'!B15=$B15)*ISNUMBER('Tom Bock'!C15)*(ABS('Tom Bock'!C15-$C15)&lt;VisitHrs/24)+('Tom Bock'!D15=$B15)*ISNUMBER('Tom Bock'!E15)*(ABS('Tom Bock'!E15-$C15)&lt;VisitHrs/24)+('Tom Bock'!F15=$B15)*ISNUMBER('Tom Bock'!G15)*(ABS('Tom Bock'!G15-$C15)&lt;VisitHrs/24)+(Jeremy!B15=$B15)*ISNUMBER(Jeremy!C15)*(ABS(Jeremy!C15-$C15)&lt;VisitHrs/24)+(Jeremy!D15=$B15)*ISNUMBER(Jeremy!E15)*(ABS(Jeremy!E15-$C15)&lt;VisitHrs/24)+(Jeremy!F15=$B15)*ISNUMBER(Jeremy!G15)*(ABS(Jeremy!G15-$C15)&lt;VisitHrs/24)+('Test Patient'!B15=$B15)*ISNUMBER('Test Patient'!C15)*(ABS('Test Patient'!C15-$C15)&lt;VisitHrs/24)+('Test Patient'!D15=$B15)*ISNUMBER('Test Patient'!E15)*(ABS('Test Patient'!E15-$C15)&lt;VisitHrs/24)+('Test Patient'!F15=$B15)*ISNUMBER('Test Patient'!G15)*(ABS('Test Patient'!G15-$C15)&lt;VisitHrs/24))-1)+('Anita Klesch'!$B15=$B15)*($C15&lt;DayEnd)*($C15+VisitHrs/24&gt;DayStart)+('Anita Klesch'!$C15=$B15)*((($C15+VisitHrs/24&gt;DayEnd)+($C15&lt;DayStart))&gt;0)+('Test Patient 2'!$B15=$B15)*($C15&lt;DayEnd)*($C15+VisitHrs/24&gt;DayStart)+('Test Patient 2'!$C15=$B15)*((($C15+VisitHrs/24&gt;DayEnd)+($C15&lt;DayStart))&gt;0)&gt;=1,1,0),0)</f>
        <v>0</v>
      </c>
      <c r="K15" s="12">
        <f>IF(AND($H15=1,$D15&lt;&gt;"",ISNUMBER($E15)),IF(((('Lucy Levene'!B15=$D15)*ISNUMBER('Lucy Levene'!C15)*(ABS('Lucy Levene'!C15-$E15)&lt;VisitHrs/24)+('Lucy Levene'!D15=$D15)*ISNUMBER('Lucy Levene'!E15)*(ABS('Lucy Levene'!E15-$E15)&lt;VisitHrs/24)+('Lucy Levene'!F15=$D15)*ISNUMBER('Lucy Levene'!G15)*(ABS('Lucy Levene'!G15-$E15)&lt;VisitHrs/24)+('Tom Bock'!B15=$D15)*ISNUMBER('Tom Bock'!C15)*(ABS('Tom Bock'!C15-$E15)&lt;VisitHrs/24)+('Tom Bock'!D15=$D15)*ISNUMBER('Tom Bock'!E15)*(ABS('Tom Bock'!E15-$E15)&lt;VisitHrs/24)+('Tom Bock'!F15=$D15)*ISNUMBER('Tom Bock'!G15)*(ABS('Tom Bock'!G15-$E15)&lt;VisitHrs/24)+(Jeremy!B15=$D15)*ISNUMBER(Jeremy!C15)*(ABS(Jeremy!C15-$E15)&lt;VisitHrs/24)+(Jeremy!D15=$D15)*ISNUMBER(Jeremy!E15)*(ABS(Jeremy!E15-$E15)&lt;VisitHrs/24)+(Jeremy!F15=$D15)*ISNUMBER(Jeremy!G15)*(ABS(Jeremy!G15-$E15)&lt;VisitHrs/24)+('Test Patient'!B15=$D15)*ISNUMBER('Test Patient'!C15)*(ABS('Test Patient'!C15-$E15)&lt;VisitHrs/24)+('Test Patient'!D15=$D15)*ISNUMBER('Test Patient'!E15)*(ABS('Test Patient'!E15-$E15)&lt;VisitHrs/24)+('Test Patient'!F15=$D15)*ISNUMBER('Test Patient'!G15)*(ABS('Test Patient'!G15-$E15)&lt;VisitHrs/24))-1)+('Anita Klesch'!$B15=$D15)*($E15&lt;DayEnd)*($E15+VisitHrs/24&gt;DayStart)+('Anita Klesch'!$C15=$D15)*((($E15+VisitHrs/24&gt;DayEnd)+($E15&lt;DayStart))&gt;0)+('Test Patient 2'!$B15=$D15)*($E15&lt;DayEnd)*($E15+VisitHrs/24&gt;DayStart)+('Test Patient 2'!$C15=$D15)*((($E15+VisitHrs/24&gt;DayEnd)+($E15&lt;DayStart))&gt;0)&gt;=1,1,0),0)</f>
        <v>0</v>
      </c>
      <c r="L15" s="12">
        <f>IF(AND($H15=1,$F15&lt;&gt;"",ISNUMBER($G15)),IF(((('Lucy Levene'!B15=$F15)*ISNUMBER('Lucy Levene'!C15)*(ABS('Lucy Levene'!C15-$G15)&lt;VisitHrs/24)+('Lucy Levene'!D15=$F15)*ISNUMBER('Lucy Levene'!E15)*(ABS('Lucy Levene'!E15-$G15)&lt;VisitHrs/24)+('Lucy Levene'!F15=$F15)*ISNUMBER('Lucy Levene'!G15)*(ABS('Lucy Levene'!G15-$G15)&lt;VisitHrs/24)+('Tom Bock'!B15=$F15)*ISNUMBER('Tom Bock'!C15)*(ABS('Tom Bock'!C15-$G15)&lt;VisitHrs/24)+('Tom Bock'!D15=$F15)*ISNUMBER('Tom Bock'!E15)*(ABS('Tom Bock'!E15-$G15)&lt;VisitHrs/24)+('Tom Bock'!F15=$F15)*ISNUMBER('Tom Bock'!G15)*(ABS('Tom Bock'!G15-$G15)&lt;VisitHrs/24)+(Jeremy!B15=$F15)*ISNUMBER(Jeremy!C15)*(ABS(Jeremy!C15-$G15)&lt;VisitHrs/24)+(Jeremy!D15=$F15)*ISNUMBER(Jeremy!E15)*(ABS(Jeremy!E15-$G15)&lt;VisitHrs/24)+(Jeremy!F15=$F15)*ISNUMBER(Jeremy!G15)*(ABS(Jeremy!G15-$G15)&lt;VisitHrs/24)+('Test Patient'!B15=$F15)*ISNUMBER('Test Patient'!C15)*(ABS('Test Patient'!C15-$G15)&lt;VisitHrs/24)+('Test Patient'!D15=$F15)*ISNUMBER('Test Patient'!E15)*(ABS('Test Patient'!E15-$G15)&lt;VisitHrs/24)+('Test Patient'!F15=$F15)*ISNUMBER('Test Patient'!G15)*(ABS('Test Patient'!G15-$G15)&lt;VisitHrs/24))-1)+('Anita Klesch'!$B15=$F15)*($G15&lt;DayEnd)*($G15+VisitHrs/24&gt;DayStart)+('Anita Klesch'!$C15=$F15)*((($G15+VisitHrs/24&gt;DayEnd)+($G15&lt;DayStart))&gt;0)+('Test Patient 2'!$B15=$F15)*($G15&lt;DayEnd)*($G15+VisitHrs/24&gt;DayStart)+('Test Patient 2'!$C15=$F15)*((($G15+VisitHrs/24&gt;DayEnd)+($G15&lt;DayStart))&gt;0)&gt;=1,1,0),0)</f>
        <v>0</v>
      </c>
      <c r="M15" s="12">
        <f t="shared" si="2"/>
        <v>0</v>
      </c>
      <c r="N15" s="12">
        <f t="shared" si="3"/>
        <v>0</v>
      </c>
      <c r="O15" s="12">
        <f t="shared" si="4"/>
        <v>0</v>
      </c>
    </row>
    <row r="16" spans="1:15" x14ac:dyDescent="0.2">
      <c r="A16" s="2">
        <f t="shared" si="5"/>
        <v>46222</v>
      </c>
      <c r="B16" s="3"/>
      <c r="C16" s="24"/>
      <c r="D16" s="19"/>
      <c r="E16" s="25"/>
      <c r="F16" s="19"/>
      <c r="G16" s="25"/>
      <c r="H16" s="12">
        <f t="shared" si="0"/>
        <v>1</v>
      </c>
      <c r="I16" s="12">
        <f t="shared" si="1"/>
        <v>0</v>
      </c>
      <c r="J16" s="12">
        <f>IF(AND($H16=1,$B16&lt;&gt;"",ISNUMBER($C16)),IF(((('Lucy Levene'!B16=$B16)*ISNUMBER('Lucy Levene'!C16)*(ABS('Lucy Levene'!C16-$C16)&lt;VisitHrs/24)+('Lucy Levene'!D16=$B16)*ISNUMBER('Lucy Levene'!E16)*(ABS('Lucy Levene'!E16-$C16)&lt;VisitHrs/24)+('Lucy Levene'!F16=$B16)*ISNUMBER('Lucy Levene'!G16)*(ABS('Lucy Levene'!G16-$C16)&lt;VisitHrs/24)+('Tom Bock'!B16=$B16)*ISNUMBER('Tom Bock'!C16)*(ABS('Tom Bock'!C16-$C16)&lt;VisitHrs/24)+('Tom Bock'!D16=$B16)*ISNUMBER('Tom Bock'!E16)*(ABS('Tom Bock'!E16-$C16)&lt;VisitHrs/24)+('Tom Bock'!F16=$B16)*ISNUMBER('Tom Bock'!G16)*(ABS('Tom Bock'!G16-$C16)&lt;VisitHrs/24)+(Jeremy!B16=$B16)*ISNUMBER(Jeremy!C16)*(ABS(Jeremy!C16-$C16)&lt;VisitHrs/24)+(Jeremy!D16=$B16)*ISNUMBER(Jeremy!E16)*(ABS(Jeremy!E16-$C16)&lt;VisitHrs/24)+(Jeremy!F16=$B16)*ISNUMBER(Jeremy!G16)*(ABS(Jeremy!G16-$C16)&lt;VisitHrs/24)+('Test Patient'!B16=$B16)*ISNUMBER('Test Patient'!C16)*(ABS('Test Patient'!C16-$C16)&lt;VisitHrs/24)+('Test Patient'!D16=$B16)*ISNUMBER('Test Patient'!E16)*(ABS('Test Patient'!E16-$C16)&lt;VisitHrs/24)+('Test Patient'!F16=$B16)*ISNUMBER('Test Patient'!G16)*(ABS('Test Patient'!G16-$C16)&lt;VisitHrs/24))-1)+('Anita Klesch'!$B16=$B16)*($C16&lt;DayEnd)*($C16+VisitHrs/24&gt;DayStart)+('Anita Klesch'!$C16=$B16)*((($C16+VisitHrs/24&gt;DayEnd)+($C16&lt;DayStart))&gt;0)+('Test Patient 2'!$B16=$B16)*($C16&lt;DayEnd)*($C16+VisitHrs/24&gt;DayStart)+('Test Patient 2'!$C16=$B16)*((($C16+VisitHrs/24&gt;DayEnd)+($C16&lt;DayStart))&gt;0)&gt;=1,1,0),0)</f>
        <v>0</v>
      </c>
      <c r="K16" s="12">
        <f>IF(AND($H16=1,$D16&lt;&gt;"",ISNUMBER($E16)),IF(((('Lucy Levene'!B16=$D16)*ISNUMBER('Lucy Levene'!C16)*(ABS('Lucy Levene'!C16-$E16)&lt;VisitHrs/24)+('Lucy Levene'!D16=$D16)*ISNUMBER('Lucy Levene'!E16)*(ABS('Lucy Levene'!E16-$E16)&lt;VisitHrs/24)+('Lucy Levene'!F16=$D16)*ISNUMBER('Lucy Levene'!G16)*(ABS('Lucy Levene'!G16-$E16)&lt;VisitHrs/24)+('Tom Bock'!B16=$D16)*ISNUMBER('Tom Bock'!C16)*(ABS('Tom Bock'!C16-$E16)&lt;VisitHrs/24)+('Tom Bock'!D16=$D16)*ISNUMBER('Tom Bock'!E16)*(ABS('Tom Bock'!E16-$E16)&lt;VisitHrs/24)+('Tom Bock'!F16=$D16)*ISNUMBER('Tom Bock'!G16)*(ABS('Tom Bock'!G16-$E16)&lt;VisitHrs/24)+(Jeremy!B16=$D16)*ISNUMBER(Jeremy!C16)*(ABS(Jeremy!C16-$E16)&lt;VisitHrs/24)+(Jeremy!D16=$D16)*ISNUMBER(Jeremy!E16)*(ABS(Jeremy!E16-$E16)&lt;VisitHrs/24)+(Jeremy!F16=$D16)*ISNUMBER(Jeremy!G16)*(ABS(Jeremy!G16-$E16)&lt;VisitHrs/24)+('Test Patient'!B16=$D16)*ISNUMBER('Test Patient'!C16)*(ABS('Test Patient'!C16-$E16)&lt;VisitHrs/24)+('Test Patient'!D16=$D16)*ISNUMBER('Test Patient'!E16)*(ABS('Test Patient'!E16-$E16)&lt;VisitHrs/24)+('Test Patient'!F16=$D16)*ISNUMBER('Test Patient'!G16)*(ABS('Test Patient'!G16-$E16)&lt;VisitHrs/24))-1)+('Anita Klesch'!$B16=$D16)*($E16&lt;DayEnd)*($E16+VisitHrs/24&gt;DayStart)+('Anita Klesch'!$C16=$D16)*((($E16+VisitHrs/24&gt;DayEnd)+($E16&lt;DayStart))&gt;0)+('Test Patient 2'!$B16=$D16)*($E16&lt;DayEnd)*($E16+VisitHrs/24&gt;DayStart)+('Test Patient 2'!$C16=$D16)*((($E16+VisitHrs/24&gt;DayEnd)+($E16&lt;DayStart))&gt;0)&gt;=1,1,0),0)</f>
        <v>0</v>
      </c>
      <c r="L16" s="12">
        <f>IF(AND($H16=1,$F16&lt;&gt;"",ISNUMBER($G16)),IF(((('Lucy Levene'!B16=$F16)*ISNUMBER('Lucy Levene'!C16)*(ABS('Lucy Levene'!C16-$G16)&lt;VisitHrs/24)+('Lucy Levene'!D16=$F16)*ISNUMBER('Lucy Levene'!E16)*(ABS('Lucy Levene'!E16-$G16)&lt;VisitHrs/24)+('Lucy Levene'!F16=$F16)*ISNUMBER('Lucy Levene'!G16)*(ABS('Lucy Levene'!G16-$G16)&lt;VisitHrs/24)+('Tom Bock'!B16=$F16)*ISNUMBER('Tom Bock'!C16)*(ABS('Tom Bock'!C16-$G16)&lt;VisitHrs/24)+('Tom Bock'!D16=$F16)*ISNUMBER('Tom Bock'!E16)*(ABS('Tom Bock'!E16-$G16)&lt;VisitHrs/24)+('Tom Bock'!F16=$F16)*ISNUMBER('Tom Bock'!G16)*(ABS('Tom Bock'!G16-$G16)&lt;VisitHrs/24)+(Jeremy!B16=$F16)*ISNUMBER(Jeremy!C16)*(ABS(Jeremy!C16-$G16)&lt;VisitHrs/24)+(Jeremy!D16=$F16)*ISNUMBER(Jeremy!E16)*(ABS(Jeremy!E16-$G16)&lt;VisitHrs/24)+(Jeremy!F16=$F16)*ISNUMBER(Jeremy!G16)*(ABS(Jeremy!G16-$G16)&lt;VisitHrs/24)+('Test Patient'!B16=$F16)*ISNUMBER('Test Patient'!C16)*(ABS('Test Patient'!C16-$G16)&lt;VisitHrs/24)+('Test Patient'!D16=$F16)*ISNUMBER('Test Patient'!E16)*(ABS('Test Patient'!E16-$G16)&lt;VisitHrs/24)+('Test Patient'!F16=$F16)*ISNUMBER('Test Patient'!G16)*(ABS('Test Patient'!G16-$G16)&lt;VisitHrs/24))-1)+('Anita Klesch'!$B16=$F16)*($G16&lt;DayEnd)*($G16+VisitHrs/24&gt;DayStart)+('Anita Klesch'!$C16=$F16)*((($G16+VisitHrs/24&gt;DayEnd)+($G16&lt;DayStart))&gt;0)+('Test Patient 2'!$B16=$F16)*($G16&lt;DayEnd)*($G16+VisitHrs/24&gt;DayStart)+('Test Patient 2'!$C16=$F16)*((($G16+VisitHrs/24&gt;DayEnd)+($G16&lt;DayStart))&gt;0)&gt;=1,1,0),0)</f>
        <v>0</v>
      </c>
      <c r="M16" s="12">
        <f t="shared" si="2"/>
        <v>0</v>
      </c>
      <c r="N16" s="12">
        <f t="shared" si="3"/>
        <v>0</v>
      </c>
      <c r="O16" s="12">
        <f t="shared" si="4"/>
        <v>0</v>
      </c>
    </row>
    <row r="17" spans="1:15" x14ac:dyDescent="0.2">
      <c r="A17" s="2">
        <f t="shared" si="5"/>
        <v>46223</v>
      </c>
      <c r="B17" s="3"/>
      <c r="C17" s="24"/>
      <c r="D17" s="19"/>
      <c r="E17" s="25"/>
      <c r="F17" s="19"/>
      <c r="G17" s="25"/>
      <c r="H17" s="12">
        <f t="shared" si="0"/>
        <v>1</v>
      </c>
      <c r="I17" s="12">
        <f t="shared" si="1"/>
        <v>0</v>
      </c>
      <c r="J17" s="12">
        <f>IF(AND($H17=1,$B17&lt;&gt;"",ISNUMBER($C17)),IF(((('Lucy Levene'!B17=$B17)*ISNUMBER('Lucy Levene'!C17)*(ABS('Lucy Levene'!C17-$C17)&lt;VisitHrs/24)+('Lucy Levene'!D17=$B17)*ISNUMBER('Lucy Levene'!E17)*(ABS('Lucy Levene'!E17-$C17)&lt;VisitHrs/24)+('Lucy Levene'!F17=$B17)*ISNUMBER('Lucy Levene'!G17)*(ABS('Lucy Levene'!G17-$C17)&lt;VisitHrs/24)+('Tom Bock'!B17=$B17)*ISNUMBER('Tom Bock'!C17)*(ABS('Tom Bock'!C17-$C17)&lt;VisitHrs/24)+('Tom Bock'!D17=$B17)*ISNUMBER('Tom Bock'!E17)*(ABS('Tom Bock'!E17-$C17)&lt;VisitHrs/24)+('Tom Bock'!F17=$B17)*ISNUMBER('Tom Bock'!G17)*(ABS('Tom Bock'!G17-$C17)&lt;VisitHrs/24)+(Jeremy!B17=$B17)*ISNUMBER(Jeremy!C17)*(ABS(Jeremy!C17-$C17)&lt;VisitHrs/24)+(Jeremy!D17=$B17)*ISNUMBER(Jeremy!E17)*(ABS(Jeremy!E17-$C17)&lt;VisitHrs/24)+(Jeremy!F17=$B17)*ISNUMBER(Jeremy!G17)*(ABS(Jeremy!G17-$C17)&lt;VisitHrs/24)+('Test Patient'!B17=$B17)*ISNUMBER('Test Patient'!C17)*(ABS('Test Patient'!C17-$C17)&lt;VisitHrs/24)+('Test Patient'!D17=$B17)*ISNUMBER('Test Patient'!E17)*(ABS('Test Patient'!E17-$C17)&lt;VisitHrs/24)+('Test Patient'!F17=$B17)*ISNUMBER('Test Patient'!G17)*(ABS('Test Patient'!G17-$C17)&lt;VisitHrs/24))-1)+('Anita Klesch'!$B17=$B17)*($C17&lt;DayEnd)*($C17+VisitHrs/24&gt;DayStart)+('Anita Klesch'!$C17=$B17)*((($C17+VisitHrs/24&gt;DayEnd)+($C17&lt;DayStart))&gt;0)+('Test Patient 2'!$B17=$B17)*($C17&lt;DayEnd)*($C17+VisitHrs/24&gt;DayStart)+('Test Patient 2'!$C17=$B17)*((($C17+VisitHrs/24&gt;DayEnd)+($C17&lt;DayStart))&gt;0)&gt;=1,1,0),0)</f>
        <v>0</v>
      </c>
      <c r="K17" s="12">
        <f>IF(AND($H17=1,$D17&lt;&gt;"",ISNUMBER($E17)),IF(((('Lucy Levene'!B17=$D17)*ISNUMBER('Lucy Levene'!C17)*(ABS('Lucy Levene'!C17-$E17)&lt;VisitHrs/24)+('Lucy Levene'!D17=$D17)*ISNUMBER('Lucy Levene'!E17)*(ABS('Lucy Levene'!E17-$E17)&lt;VisitHrs/24)+('Lucy Levene'!F17=$D17)*ISNUMBER('Lucy Levene'!G17)*(ABS('Lucy Levene'!G17-$E17)&lt;VisitHrs/24)+('Tom Bock'!B17=$D17)*ISNUMBER('Tom Bock'!C17)*(ABS('Tom Bock'!C17-$E17)&lt;VisitHrs/24)+('Tom Bock'!D17=$D17)*ISNUMBER('Tom Bock'!E17)*(ABS('Tom Bock'!E17-$E17)&lt;VisitHrs/24)+('Tom Bock'!F17=$D17)*ISNUMBER('Tom Bock'!G17)*(ABS('Tom Bock'!G17-$E17)&lt;VisitHrs/24)+(Jeremy!B17=$D17)*ISNUMBER(Jeremy!C17)*(ABS(Jeremy!C17-$E17)&lt;VisitHrs/24)+(Jeremy!D17=$D17)*ISNUMBER(Jeremy!E17)*(ABS(Jeremy!E17-$E17)&lt;VisitHrs/24)+(Jeremy!F17=$D17)*ISNUMBER(Jeremy!G17)*(ABS(Jeremy!G17-$E17)&lt;VisitHrs/24)+('Test Patient'!B17=$D17)*ISNUMBER('Test Patient'!C17)*(ABS('Test Patient'!C17-$E17)&lt;VisitHrs/24)+('Test Patient'!D17=$D17)*ISNUMBER('Test Patient'!E17)*(ABS('Test Patient'!E17-$E17)&lt;VisitHrs/24)+('Test Patient'!F17=$D17)*ISNUMBER('Test Patient'!G17)*(ABS('Test Patient'!G17-$E17)&lt;VisitHrs/24))-1)+('Anita Klesch'!$B17=$D17)*($E17&lt;DayEnd)*($E17+VisitHrs/24&gt;DayStart)+('Anita Klesch'!$C17=$D17)*((($E17+VisitHrs/24&gt;DayEnd)+($E17&lt;DayStart))&gt;0)+('Test Patient 2'!$B17=$D17)*($E17&lt;DayEnd)*($E17+VisitHrs/24&gt;DayStart)+('Test Patient 2'!$C17=$D17)*((($E17+VisitHrs/24&gt;DayEnd)+($E17&lt;DayStart))&gt;0)&gt;=1,1,0),0)</f>
        <v>0</v>
      </c>
      <c r="L17" s="12">
        <f>IF(AND($H17=1,$F17&lt;&gt;"",ISNUMBER($G17)),IF(((('Lucy Levene'!B17=$F17)*ISNUMBER('Lucy Levene'!C17)*(ABS('Lucy Levene'!C17-$G17)&lt;VisitHrs/24)+('Lucy Levene'!D17=$F17)*ISNUMBER('Lucy Levene'!E17)*(ABS('Lucy Levene'!E17-$G17)&lt;VisitHrs/24)+('Lucy Levene'!F17=$F17)*ISNUMBER('Lucy Levene'!G17)*(ABS('Lucy Levene'!G17-$G17)&lt;VisitHrs/24)+('Tom Bock'!B17=$F17)*ISNUMBER('Tom Bock'!C17)*(ABS('Tom Bock'!C17-$G17)&lt;VisitHrs/24)+('Tom Bock'!D17=$F17)*ISNUMBER('Tom Bock'!E17)*(ABS('Tom Bock'!E17-$G17)&lt;VisitHrs/24)+('Tom Bock'!F17=$F17)*ISNUMBER('Tom Bock'!G17)*(ABS('Tom Bock'!G17-$G17)&lt;VisitHrs/24)+(Jeremy!B17=$F17)*ISNUMBER(Jeremy!C17)*(ABS(Jeremy!C17-$G17)&lt;VisitHrs/24)+(Jeremy!D17=$F17)*ISNUMBER(Jeremy!E17)*(ABS(Jeremy!E17-$G17)&lt;VisitHrs/24)+(Jeremy!F17=$F17)*ISNUMBER(Jeremy!G17)*(ABS(Jeremy!G17-$G17)&lt;VisitHrs/24)+('Test Patient'!B17=$F17)*ISNUMBER('Test Patient'!C17)*(ABS('Test Patient'!C17-$G17)&lt;VisitHrs/24)+('Test Patient'!D17=$F17)*ISNUMBER('Test Patient'!E17)*(ABS('Test Patient'!E17-$G17)&lt;VisitHrs/24)+('Test Patient'!F17=$F17)*ISNUMBER('Test Patient'!G17)*(ABS('Test Patient'!G17-$G17)&lt;VisitHrs/24))-1)+('Anita Klesch'!$B17=$F17)*($G17&lt;DayEnd)*($G17+VisitHrs/24&gt;DayStart)+('Anita Klesch'!$C17=$F17)*((($G17+VisitHrs/24&gt;DayEnd)+($G17&lt;DayStart))&gt;0)+('Test Patient 2'!$B17=$F17)*($G17&lt;DayEnd)*($G17+VisitHrs/24&gt;DayStart)+('Test Patient 2'!$C17=$F17)*((($G17+VisitHrs/24&gt;DayEnd)+($G17&lt;DayStart))&gt;0)&gt;=1,1,0),0)</f>
        <v>0</v>
      </c>
      <c r="M17" s="12">
        <f t="shared" si="2"/>
        <v>0</v>
      </c>
      <c r="N17" s="12">
        <f t="shared" si="3"/>
        <v>0</v>
      </c>
      <c r="O17" s="12">
        <f t="shared" si="4"/>
        <v>0</v>
      </c>
    </row>
    <row r="18" spans="1:15" x14ac:dyDescent="0.2">
      <c r="A18" s="2">
        <f t="shared" si="5"/>
        <v>46224</v>
      </c>
      <c r="B18" s="3"/>
      <c r="C18" s="24"/>
      <c r="D18" s="19"/>
      <c r="E18" s="25"/>
      <c r="F18" s="19"/>
      <c r="G18" s="25"/>
      <c r="H18" s="12">
        <f t="shared" si="0"/>
        <v>1</v>
      </c>
      <c r="I18" s="12">
        <f t="shared" si="1"/>
        <v>0</v>
      </c>
      <c r="J18" s="12">
        <f>IF(AND($H18=1,$B18&lt;&gt;"",ISNUMBER($C18)),IF(((('Lucy Levene'!B18=$B18)*ISNUMBER('Lucy Levene'!C18)*(ABS('Lucy Levene'!C18-$C18)&lt;VisitHrs/24)+('Lucy Levene'!D18=$B18)*ISNUMBER('Lucy Levene'!E18)*(ABS('Lucy Levene'!E18-$C18)&lt;VisitHrs/24)+('Lucy Levene'!F18=$B18)*ISNUMBER('Lucy Levene'!G18)*(ABS('Lucy Levene'!G18-$C18)&lt;VisitHrs/24)+('Tom Bock'!B18=$B18)*ISNUMBER('Tom Bock'!C18)*(ABS('Tom Bock'!C18-$C18)&lt;VisitHrs/24)+('Tom Bock'!D18=$B18)*ISNUMBER('Tom Bock'!E18)*(ABS('Tom Bock'!E18-$C18)&lt;VisitHrs/24)+('Tom Bock'!F18=$B18)*ISNUMBER('Tom Bock'!G18)*(ABS('Tom Bock'!G18-$C18)&lt;VisitHrs/24)+(Jeremy!B18=$B18)*ISNUMBER(Jeremy!C18)*(ABS(Jeremy!C18-$C18)&lt;VisitHrs/24)+(Jeremy!D18=$B18)*ISNUMBER(Jeremy!E18)*(ABS(Jeremy!E18-$C18)&lt;VisitHrs/24)+(Jeremy!F18=$B18)*ISNUMBER(Jeremy!G18)*(ABS(Jeremy!G18-$C18)&lt;VisitHrs/24)+('Test Patient'!B18=$B18)*ISNUMBER('Test Patient'!C18)*(ABS('Test Patient'!C18-$C18)&lt;VisitHrs/24)+('Test Patient'!D18=$B18)*ISNUMBER('Test Patient'!E18)*(ABS('Test Patient'!E18-$C18)&lt;VisitHrs/24)+('Test Patient'!F18=$B18)*ISNUMBER('Test Patient'!G18)*(ABS('Test Patient'!G18-$C18)&lt;VisitHrs/24))-1)+('Anita Klesch'!$B18=$B18)*($C18&lt;DayEnd)*($C18+VisitHrs/24&gt;DayStart)+('Anita Klesch'!$C18=$B18)*((($C18+VisitHrs/24&gt;DayEnd)+($C18&lt;DayStart))&gt;0)+('Test Patient 2'!$B18=$B18)*($C18&lt;DayEnd)*($C18+VisitHrs/24&gt;DayStart)+('Test Patient 2'!$C18=$B18)*((($C18+VisitHrs/24&gt;DayEnd)+($C18&lt;DayStart))&gt;0)&gt;=1,1,0),0)</f>
        <v>0</v>
      </c>
      <c r="K18" s="12">
        <f>IF(AND($H18=1,$D18&lt;&gt;"",ISNUMBER($E18)),IF(((('Lucy Levene'!B18=$D18)*ISNUMBER('Lucy Levene'!C18)*(ABS('Lucy Levene'!C18-$E18)&lt;VisitHrs/24)+('Lucy Levene'!D18=$D18)*ISNUMBER('Lucy Levene'!E18)*(ABS('Lucy Levene'!E18-$E18)&lt;VisitHrs/24)+('Lucy Levene'!F18=$D18)*ISNUMBER('Lucy Levene'!G18)*(ABS('Lucy Levene'!G18-$E18)&lt;VisitHrs/24)+('Tom Bock'!B18=$D18)*ISNUMBER('Tom Bock'!C18)*(ABS('Tom Bock'!C18-$E18)&lt;VisitHrs/24)+('Tom Bock'!D18=$D18)*ISNUMBER('Tom Bock'!E18)*(ABS('Tom Bock'!E18-$E18)&lt;VisitHrs/24)+('Tom Bock'!F18=$D18)*ISNUMBER('Tom Bock'!G18)*(ABS('Tom Bock'!G18-$E18)&lt;VisitHrs/24)+(Jeremy!B18=$D18)*ISNUMBER(Jeremy!C18)*(ABS(Jeremy!C18-$E18)&lt;VisitHrs/24)+(Jeremy!D18=$D18)*ISNUMBER(Jeremy!E18)*(ABS(Jeremy!E18-$E18)&lt;VisitHrs/24)+(Jeremy!F18=$D18)*ISNUMBER(Jeremy!G18)*(ABS(Jeremy!G18-$E18)&lt;VisitHrs/24)+('Test Patient'!B18=$D18)*ISNUMBER('Test Patient'!C18)*(ABS('Test Patient'!C18-$E18)&lt;VisitHrs/24)+('Test Patient'!D18=$D18)*ISNUMBER('Test Patient'!E18)*(ABS('Test Patient'!E18-$E18)&lt;VisitHrs/24)+('Test Patient'!F18=$D18)*ISNUMBER('Test Patient'!G18)*(ABS('Test Patient'!G18-$E18)&lt;VisitHrs/24))-1)+('Anita Klesch'!$B18=$D18)*($E18&lt;DayEnd)*($E18+VisitHrs/24&gt;DayStart)+('Anita Klesch'!$C18=$D18)*((($E18+VisitHrs/24&gt;DayEnd)+($E18&lt;DayStart))&gt;0)+('Test Patient 2'!$B18=$D18)*($E18&lt;DayEnd)*($E18+VisitHrs/24&gt;DayStart)+('Test Patient 2'!$C18=$D18)*((($E18+VisitHrs/24&gt;DayEnd)+($E18&lt;DayStart))&gt;0)&gt;=1,1,0),0)</f>
        <v>0</v>
      </c>
      <c r="L18" s="12">
        <f>IF(AND($H18=1,$F18&lt;&gt;"",ISNUMBER($G18)),IF(((('Lucy Levene'!B18=$F18)*ISNUMBER('Lucy Levene'!C18)*(ABS('Lucy Levene'!C18-$G18)&lt;VisitHrs/24)+('Lucy Levene'!D18=$F18)*ISNUMBER('Lucy Levene'!E18)*(ABS('Lucy Levene'!E18-$G18)&lt;VisitHrs/24)+('Lucy Levene'!F18=$F18)*ISNUMBER('Lucy Levene'!G18)*(ABS('Lucy Levene'!G18-$G18)&lt;VisitHrs/24)+('Tom Bock'!B18=$F18)*ISNUMBER('Tom Bock'!C18)*(ABS('Tom Bock'!C18-$G18)&lt;VisitHrs/24)+('Tom Bock'!D18=$F18)*ISNUMBER('Tom Bock'!E18)*(ABS('Tom Bock'!E18-$G18)&lt;VisitHrs/24)+('Tom Bock'!F18=$F18)*ISNUMBER('Tom Bock'!G18)*(ABS('Tom Bock'!G18-$G18)&lt;VisitHrs/24)+(Jeremy!B18=$F18)*ISNUMBER(Jeremy!C18)*(ABS(Jeremy!C18-$G18)&lt;VisitHrs/24)+(Jeremy!D18=$F18)*ISNUMBER(Jeremy!E18)*(ABS(Jeremy!E18-$G18)&lt;VisitHrs/24)+(Jeremy!F18=$F18)*ISNUMBER(Jeremy!G18)*(ABS(Jeremy!G18-$G18)&lt;VisitHrs/24)+('Test Patient'!B18=$F18)*ISNUMBER('Test Patient'!C18)*(ABS('Test Patient'!C18-$G18)&lt;VisitHrs/24)+('Test Patient'!D18=$F18)*ISNUMBER('Test Patient'!E18)*(ABS('Test Patient'!E18-$G18)&lt;VisitHrs/24)+('Test Patient'!F18=$F18)*ISNUMBER('Test Patient'!G18)*(ABS('Test Patient'!G18-$G18)&lt;VisitHrs/24))-1)+('Anita Klesch'!$B18=$F18)*($G18&lt;DayEnd)*($G18+VisitHrs/24&gt;DayStart)+('Anita Klesch'!$C18=$F18)*((($G18+VisitHrs/24&gt;DayEnd)+($G18&lt;DayStart))&gt;0)+('Test Patient 2'!$B18=$F18)*($G18&lt;DayEnd)*($G18+VisitHrs/24&gt;DayStart)+('Test Patient 2'!$C18=$F18)*((($G18+VisitHrs/24&gt;DayEnd)+($G18&lt;DayStart))&gt;0)&gt;=1,1,0),0)</f>
        <v>0</v>
      </c>
      <c r="M18" s="12">
        <f t="shared" si="2"/>
        <v>0</v>
      </c>
      <c r="N18" s="12">
        <f t="shared" si="3"/>
        <v>0</v>
      </c>
      <c r="O18" s="12">
        <f t="shared" si="4"/>
        <v>0</v>
      </c>
    </row>
    <row r="19" spans="1:15" x14ac:dyDescent="0.2">
      <c r="A19" s="2">
        <f t="shared" si="5"/>
        <v>46225</v>
      </c>
      <c r="B19" s="3"/>
      <c r="C19" s="24"/>
      <c r="D19" s="19"/>
      <c r="E19" s="25"/>
      <c r="F19" s="19"/>
      <c r="G19" s="25"/>
      <c r="H19" s="12">
        <f t="shared" si="0"/>
        <v>1</v>
      </c>
      <c r="I19" s="12">
        <f t="shared" si="1"/>
        <v>0</v>
      </c>
      <c r="J19" s="12">
        <f>IF(AND($H19=1,$B19&lt;&gt;"",ISNUMBER($C19)),IF(((('Lucy Levene'!B19=$B19)*ISNUMBER('Lucy Levene'!C19)*(ABS('Lucy Levene'!C19-$C19)&lt;VisitHrs/24)+('Lucy Levene'!D19=$B19)*ISNUMBER('Lucy Levene'!E19)*(ABS('Lucy Levene'!E19-$C19)&lt;VisitHrs/24)+('Lucy Levene'!F19=$B19)*ISNUMBER('Lucy Levene'!G19)*(ABS('Lucy Levene'!G19-$C19)&lt;VisitHrs/24)+('Tom Bock'!B19=$B19)*ISNUMBER('Tom Bock'!C19)*(ABS('Tom Bock'!C19-$C19)&lt;VisitHrs/24)+('Tom Bock'!D19=$B19)*ISNUMBER('Tom Bock'!E19)*(ABS('Tom Bock'!E19-$C19)&lt;VisitHrs/24)+('Tom Bock'!F19=$B19)*ISNUMBER('Tom Bock'!G19)*(ABS('Tom Bock'!G19-$C19)&lt;VisitHrs/24)+(Jeremy!B19=$B19)*ISNUMBER(Jeremy!C19)*(ABS(Jeremy!C19-$C19)&lt;VisitHrs/24)+(Jeremy!D19=$B19)*ISNUMBER(Jeremy!E19)*(ABS(Jeremy!E19-$C19)&lt;VisitHrs/24)+(Jeremy!F19=$B19)*ISNUMBER(Jeremy!G19)*(ABS(Jeremy!G19-$C19)&lt;VisitHrs/24)+('Test Patient'!B19=$B19)*ISNUMBER('Test Patient'!C19)*(ABS('Test Patient'!C19-$C19)&lt;VisitHrs/24)+('Test Patient'!D19=$B19)*ISNUMBER('Test Patient'!E19)*(ABS('Test Patient'!E19-$C19)&lt;VisitHrs/24)+('Test Patient'!F19=$B19)*ISNUMBER('Test Patient'!G19)*(ABS('Test Patient'!G19-$C19)&lt;VisitHrs/24))-1)+('Anita Klesch'!$B19=$B19)*($C19&lt;DayEnd)*($C19+VisitHrs/24&gt;DayStart)+('Anita Klesch'!$C19=$B19)*((($C19+VisitHrs/24&gt;DayEnd)+($C19&lt;DayStart))&gt;0)+('Test Patient 2'!$B19=$B19)*($C19&lt;DayEnd)*($C19+VisitHrs/24&gt;DayStart)+('Test Patient 2'!$C19=$B19)*((($C19+VisitHrs/24&gt;DayEnd)+($C19&lt;DayStart))&gt;0)&gt;=1,1,0),0)</f>
        <v>0</v>
      </c>
      <c r="K19" s="12">
        <f>IF(AND($H19=1,$D19&lt;&gt;"",ISNUMBER($E19)),IF(((('Lucy Levene'!B19=$D19)*ISNUMBER('Lucy Levene'!C19)*(ABS('Lucy Levene'!C19-$E19)&lt;VisitHrs/24)+('Lucy Levene'!D19=$D19)*ISNUMBER('Lucy Levene'!E19)*(ABS('Lucy Levene'!E19-$E19)&lt;VisitHrs/24)+('Lucy Levene'!F19=$D19)*ISNUMBER('Lucy Levene'!G19)*(ABS('Lucy Levene'!G19-$E19)&lt;VisitHrs/24)+('Tom Bock'!B19=$D19)*ISNUMBER('Tom Bock'!C19)*(ABS('Tom Bock'!C19-$E19)&lt;VisitHrs/24)+('Tom Bock'!D19=$D19)*ISNUMBER('Tom Bock'!E19)*(ABS('Tom Bock'!E19-$E19)&lt;VisitHrs/24)+('Tom Bock'!F19=$D19)*ISNUMBER('Tom Bock'!G19)*(ABS('Tom Bock'!G19-$E19)&lt;VisitHrs/24)+(Jeremy!B19=$D19)*ISNUMBER(Jeremy!C19)*(ABS(Jeremy!C19-$E19)&lt;VisitHrs/24)+(Jeremy!D19=$D19)*ISNUMBER(Jeremy!E19)*(ABS(Jeremy!E19-$E19)&lt;VisitHrs/24)+(Jeremy!F19=$D19)*ISNUMBER(Jeremy!G19)*(ABS(Jeremy!G19-$E19)&lt;VisitHrs/24)+('Test Patient'!B19=$D19)*ISNUMBER('Test Patient'!C19)*(ABS('Test Patient'!C19-$E19)&lt;VisitHrs/24)+('Test Patient'!D19=$D19)*ISNUMBER('Test Patient'!E19)*(ABS('Test Patient'!E19-$E19)&lt;VisitHrs/24)+('Test Patient'!F19=$D19)*ISNUMBER('Test Patient'!G19)*(ABS('Test Patient'!G19-$E19)&lt;VisitHrs/24))-1)+('Anita Klesch'!$B19=$D19)*($E19&lt;DayEnd)*($E19+VisitHrs/24&gt;DayStart)+('Anita Klesch'!$C19=$D19)*((($E19+VisitHrs/24&gt;DayEnd)+($E19&lt;DayStart))&gt;0)+('Test Patient 2'!$B19=$D19)*($E19&lt;DayEnd)*($E19+VisitHrs/24&gt;DayStart)+('Test Patient 2'!$C19=$D19)*((($E19+VisitHrs/24&gt;DayEnd)+($E19&lt;DayStart))&gt;0)&gt;=1,1,0),0)</f>
        <v>0</v>
      </c>
      <c r="L19" s="12">
        <f>IF(AND($H19=1,$F19&lt;&gt;"",ISNUMBER($G19)),IF(((('Lucy Levene'!B19=$F19)*ISNUMBER('Lucy Levene'!C19)*(ABS('Lucy Levene'!C19-$G19)&lt;VisitHrs/24)+('Lucy Levene'!D19=$F19)*ISNUMBER('Lucy Levene'!E19)*(ABS('Lucy Levene'!E19-$G19)&lt;VisitHrs/24)+('Lucy Levene'!F19=$F19)*ISNUMBER('Lucy Levene'!G19)*(ABS('Lucy Levene'!G19-$G19)&lt;VisitHrs/24)+('Tom Bock'!B19=$F19)*ISNUMBER('Tom Bock'!C19)*(ABS('Tom Bock'!C19-$G19)&lt;VisitHrs/24)+('Tom Bock'!D19=$F19)*ISNUMBER('Tom Bock'!E19)*(ABS('Tom Bock'!E19-$G19)&lt;VisitHrs/24)+('Tom Bock'!F19=$F19)*ISNUMBER('Tom Bock'!G19)*(ABS('Tom Bock'!G19-$G19)&lt;VisitHrs/24)+(Jeremy!B19=$F19)*ISNUMBER(Jeremy!C19)*(ABS(Jeremy!C19-$G19)&lt;VisitHrs/24)+(Jeremy!D19=$F19)*ISNUMBER(Jeremy!E19)*(ABS(Jeremy!E19-$G19)&lt;VisitHrs/24)+(Jeremy!F19=$F19)*ISNUMBER(Jeremy!G19)*(ABS(Jeremy!G19-$G19)&lt;VisitHrs/24)+('Test Patient'!B19=$F19)*ISNUMBER('Test Patient'!C19)*(ABS('Test Patient'!C19-$G19)&lt;VisitHrs/24)+('Test Patient'!D19=$F19)*ISNUMBER('Test Patient'!E19)*(ABS('Test Patient'!E19-$G19)&lt;VisitHrs/24)+('Test Patient'!F19=$F19)*ISNUMBER('Test Patient'!G19)*(ABS('Test Patient'!G19-$G19)&lt;VisitHrs/24))-1)+('Anita Klesch'!$B19=$F19)*($G19&lt;DayEnd)*($G19+VisitHrs/24&gt;DayStart)+('Anita Klesch'!$C19=$F19)*((($G19+VisitHrs/24&gt;DayEnd)+($G19&lt;DayStart))&gt;0)+('Test Patient 2'!$B19=$F19)*($G19&lt;DayEnd)*($G19+VisitHrs/24&gt;DayStart)+('Test Patient 2'!$C19=$F19)*((($G19+VisitHrs/24&gt;DayEnd)+($G19&lt;DayStart))&gt;0)&gt;=1,1,0),0)</f>
        <v>0</v>
      </c>
      <c r="M19" s="12">
        <f t="shared" si="2"/>
        <v>0</v>
      </c>
      <c r="N19" s="12">
        <f t="shared" si="3"/>
        <v>0</v>
      </c>
      <c r="O19" s="12">
        <f t="shared" si="4"/>
        <v>0</v>
      </c>
    </row>
    <row r="20" spans="1:15" x14ac:dyDescent="0.2">
      <c r="A20" s="2">
        <f t="shared" si="5"/>
        <v>46226</v>
      </c>
      <c r="B20" s="3"/>
      <c r="C20" s="24"/>
      <c r="D20" s="19"/>
      <c r="E20" s="25"/>
      <c r="F20" s="19"/>
      <c r="G20" s="25"/>
      <c r="H20" s="12">
        <f t="shared" si="0"/>
        <v>1</v>
      </c>
      <c r="I20" s="12">
        <f t="shared" si="1"/>
        <v>0</v>
      </c>
      <c r="J20" s="12">
        <f>IF(AND($H20=1,$B20&lt;&gt;"",ISNUMBER($C20)),IF(((('Lucy Levene'!B20=$B20)*ISNUMBER('Lucy Levene'!C20)*(ABS('Lucy Levene'!C20-$C20)&lt;VisitHrs/24)+('Lucy Levene'!D20=$B20)*ISNUMBER('Lucy Levene'!E20)*(ABS('Lucy Levene'!E20-$C20)&lt;VisitHrs/24)+('Lucy Levene'!F20=$B20)*ISNUMBER('Lucy Levene'!G20)*(ABS('Lucy Levene'!G20-$C20)&lt;VisitHrs/24)+('Tom Bock'!B20=$B20)*ISNUMBER('Tom Bock'!C20)*(ABS('Tom Bock'!C20-$C20)&lt;VisitHrs/24)+('Tom Bock'!D20=$B20)*ISNUMBER('Tom Bock'!E20)*(ABS('Tom Bock'!E20-$C20)&lt;VisitHrs/24)+('Tom Bock'!F20=$B20)*ISNUMBER('Tom Bock'!G20)*(ABS('Tom Bock'!G20-$C20)&lt;VisitHrs/24)+(Jeremy!B20=$B20)*ISNUMBER(Jeremy!C20)*(ABS(Jeremy!C20-$C20)&lt;VisitHrs/24)+(Jeremy!D20=$B20)*ISNUMBER(Jeremy!E20)*(ABS(Jeremy!E20-$C20)&lt;VisitHrs/24)+(Jeremy!F20=$B20)*ISNUMBER(Jeremy!G20)*(ABS(Jeremy!G20-$C20)&lt;VisitHrs/24)+('Test Patient'!B20=$B20)*ISNUMBER('Test Patient'!C20)*(ABS('Test Patient'!C20-$C20)&lt;VisitHrs/24)+('Test Patient'!D20=$B20)*ISNUMBER('Test Patient'!E20)*(ABS('Test Patient'!E20-$C20)&lt;VisitHrs/24)+('Test Patient'!F20=$B20)*ISNUMBER('Test Patient'!G20)*(ABS('Test Patient'!G20-$C20)&lt;VisitHrs/24))-1)+('Anita Klesch'!$B20=$B20)*($C20&lt;DayEnd)*($C20+VisitHrs/24&gt;DayStart)+('Anita Klesch'!$C20=$B20)*((($C20+VisitHrs/24&gt;DayEnd)+($C20&lt;DayStart))&gt;0)+('Test Patient 2'!$B20=$B20)*($C20&lt;DayEnd)*($C20+VisitHrs/24&gt;DayStart)+('Test Patient 2'!$C20=$B20)*((($C20+VisitHrs/24&gt;DayEnd)+($C20&lt;DayStart))&gt;0)&gt;=1,1,0),0)</f>
        <v>0</v>
      </c>
      <c r="K20" s="12">
        <f>IF(AND($H20=1,$D20&lt;&gt;"",ISNUMBER($E20)),IF(((('Lucy Levene'!B20=$D20)*ISNUMBER('Lucy Levene'!C20)*(ABS('Lucy Levene'!C20-$E20)&lt;VisitHrs/24)+('Lucy Levene'!D20=$D20)*ISNUMBER('Lucy Levene'!E20)*(ABS('Lucy Levene'!E20-$E20)&lt;VisitHrs/24)+('Lucy Levene'!F20=$D20)*ISNUMBER('Lucy Levene'!G20)*(ABS('Lucy Levene'!G20-$E20)&lt;VisitHrs/24)+('Tom Bock'!B20=$D20)*ISNUMBER('Tom Bock'!C20)*(ABS('Tom Bock'!C20-$E20)&lt;VisitHrs/24)+('Tom Bock'!D20=$D20)*ISNUMBER('Tom Bock'!E20)*(ABS('Tom Bock'!E20-$E20)&lt;VisitHrs/24)+('Tom Bock'!F20=$D20)*ISNUMBER('Tom Bock'!G20)*(ABS('Tom Bock'!G20-$E20)&lt;VisitHrs/24)+(Jeremy!B20=$D20)*ISNUMBER(Jeremy!C20)*(ABS(Jeremy!C20-$E20)&lt;VisitHrs/24)+(Jeremy!D20=$D20)*ISNUMBER(Jeremy!E20)*(ABS(Jeremy!E20-$E20)&lt;VisitHrs/24)+(Jeremy!F20=$D20)*ISNUMBER(Jeremy!G20)*(ABS(Jeremy!G20-$E20)&lt;VisitHrs/24)+('Test Patient'!B20=$D20)*ISNUMBER('Test Patient'!C20)*(ABS('Test Patient'!C20-$E20)&lt;VisitHrs/24)+('Test Patient'!D20=$D20)*ISNUMBER('Test Patient'!E20)*(ABS('Test Patient'!E20-$E20)&lt;VisitHrs/24)+('Test Patient'!F20=$D20)*ISNUMBER('Test Patient'!G20)*(ABS('Test Patient'!G20-$E20)&lt;VisitHrs/24))-1)+('Anita Klesch'!$B20=$D20)*($E20&lt;DayEnd)*($E20+VisitHrs/24&gt;DayStart)+('Anita Klesch'!$C20=$D20)*((($E20+VisitHrs/24&gt;DayEnd)+($E20&lt;DayStart))&gt;0)+('Test Patient 2'!$B20=$D20)*($E20&lt;DayEnd)*($E20+VisitHrs/24&gt;DayStart)+('Test Patient 2'!$C20=$D20)*((($E20+VisitHrs/24&gt;DayEnd)+($E20&lt;DayStart))&gt;0)&gt;=1,1,0),0)</f>
        <v>0</v>
      </c>
      <c r="L20" s="12">
        <f>IF(AND($H20=1,$F20&lt;&gt;"",ISNUMBER($G20)),IF(((('Lucy Levene'!B20=$F20)*ISNUMBER('Lucy Levene'!C20)*(ABS('Lucy Levene'!C20-$G20)&lt;VisitHrs/24)+('Lucy Levene'!D20=$F20)*ISNUMBER('Lucy Levene'!E20)*(ABS('Lucy Levene'!E20-$G20)&lt;VisitHrs/24)+('Lucy Levene'!F20=$F20)*ISNUMBER('Lucy Levene'!G20)*(ABS('Lucy Levene'!G20-$G20)&lt;VisitHrs/24)+('Tom Bock'!B20=$F20)*ISNUMBER('Tom Bock'!C20)*(ABS('Tom Bock'!C20-$G20)&lt;VisitHrs/24)+('Tom Bock'!D20=$F20)*ISNUMBER('Tom Bock'!E20)*(ABS('Tom Bock'!E20-$G20)&lt;VisitHrs/24)+('Tom Bock'!F20=$F20)*ISNUMBER('Tom Bock'!G20)*(ABS('Tom Bock'!G20-$G20)&lt;VisitHrs/24)+(Jeremy!B20=$F20)*ISNUMBER(Jeremy!C20)*(ABS(Jeremy!C20-$G20)&lt;VisitHrs/24)+(Jeremy!D20=$F20)*ISNUMBER(Jeremy!E20)*(ABS(Jeremy!E20-$G20)&lt;VisitHrs/24)+(Jeremy!F20=$F20)*ISNUMBER(Jeremy!G20)*(ABS(Jeremy!G20-$G20)&lt;VisitHrs/24)+('Test Patient'!B20=$F20)*ISNUMBER('Test Patient'!C20)*(ABS('Test Patient'!C20-$G20)&lt;VisitHrs/24)+('Test Patient'!D20=$F20)*ISNUMBER('Test Patient'!E20)*(ABS('Test Patient'!E20-$G20)&lt;VisitHrs/24)+('Test Patient'!F20=$F20)*ISNUMBER('Test Patient'!G20)*(ABS('Test Patient'!G20-$G20)&lt;VisitHrs/24))-1)+('Anita Klesch'!$B20=$F20)*($G20&lt;DayEnd)*($G20+VisitHrs/24&gt;DayStart)+('Anita Klesch'!$C20=$F20)*((($G20+VisitHrs/24&gt;DayEnd)+($G20&lt;DayStart))&gt;0)+('Test Patient 2'!$B20=$F20)*($G20&lt;DayEnd)*($G20+VisitHrs/24&gt;DayStart)+('Test Patient 2'!$C20=$F20)*((($G20+VisitHrs/24&gt;DayEnd)+($G20&lt;DayStart))&gt;0)&gt;=1,1,0),0)</f>
        <v>0</v>
      </c>
      <c r="M20" s="12">
        <f t="shared" si="2"/>
        <v>0</v>
      </c>
      <c r="N20" s="12">
        <f t="shared" si="3"/>
        <v>0</v>
      </c>
      <c r="O20" s="12">
        <f t="shared" si="4"/>
        <v>0</v>
      </c>
    </row>
    <row r="21" spans="1:15" x14ac:dyDescent="0.2">
      <c r="A21" s="2">
        <f t="shared" si="5"/>
        <v>46227</v>
      </c>
      <c r="B21" s="3"/>
      <c r="C21" s="24"/>
      <c r="D21" s="19"/>
      <c r="E21" s="25"/>
      <c r="F21" s="19"/>
      <c r="G21" s="25"/>
      <c r="H21" s="12">
        <f t="shared" si="0"/>
        <v>1</v>
      </c>
      <c r="I21" s="12">
        <f t="shared" si="1"/>
        <v>0</v>
      </c>
      <c r="J21" s="12">
        <f>IF(AND($H21=1,$B21&lt;&gt;"",ISNUMBER($C21)),IF(((('Lucy Levene'!B21=$B21)*ISNUMBER('Lucy Levene'!C21)*(ABS('Lucy Levene'!C21-$C21)&lt;VisitHrs/24)+('Lucy Levene'!D21=$B21)*ISNUMBER('Lucy Levene'!E21)*(ABS('Lucy Levene'!E21-$C21)&lt;VisitHrs/24)+('Lucy Levene'!F21=$B21)*ISNUMBER('Lucy Levene'!G21)*(ABS('Lucy Levene'!G21-$C21)&lt;VisitHrs/24)+('Tom Bock'!B21=$B21)*ISNUMBER('Tom Bock'!C21)*(ABS('Tom Bock'!C21-$C21)&lt;VisitHrs/24)+('Tom Bock'!D21=$B21)*ISNUMBER('Tom Bock'!E21)*(ABS('Tom Bock'!E21-$C21)&lt;VisitHrs/24)+('Tom Bock'!F21=$B21)*ISNUMBER('Tom Bock'!G21)*(ABS('Tom Bock'!G21-$C21)&lt;VisitHrs/24)+(Jeremy!B21=$B21)*ISNUMBER(Jeremy!C21)*(ABS(Jeremy!C21-$C21)&lt;VisitHrs/24)+(Jeremy!D21=$B21)*ISNUMBER(Jeremy!E21)*(ABS(Jeremy!E21-$C21)&lt;VisitHrs/24)+(Jeremy!F21=$B21)*ISNUMBER(Jeremy!G21)*(ABS(Jeremy!G21-$C21)&lt;VisitHrs/24)+('Test Patient'!B21=$B21)*ISNUMBER('Test Patient'!C21)*(ABS('Test Patient'!C21-$C21)&lt;VisitHrs/24)+('Test Patient'!D21=$B21)*ISNUMBER('Test Patient'!E21)*(ABS('Test Patient'!E21-$C21)&lt;VisitHrs/24)+('Test Patient'!F21=$B21)*ISNUMBER('Test Patient'!G21)*(ABS('Test Patient'!G21-$C21)&lt;VisitHrs/24))-1)+('Anita Klesch'!$B21=$B21)*($C21&lt;DayEnd)*($C21+VisitHrs/24&gt;DayStart)+('Anita Klesch'!$C21=$B21)*((($C21+VisitHrs/24&gt;DayEnd)+($C21&lt;DayStart))&gt;0)+('Test Patient 2'!$B21=$B21)*($C21&lt;DayEnd)*($C21+VisitHrs/24&gt;DayStart)+('Test Patient 2'!$C21=$B21)*((($C21+VisitHrs/24&gt;DayEnd)+($C21&lt;DayStart))&gt;0)&gt;=1,1,0),0)</f>
        <v>0</v>
      </c>
      <c r="K21" s="12">
        <f>IF(AND($H21=1,$D21&lt;&gt;"",ISNUMBER($E21)),IF(((('Lucy Levene'!B21=$D21)*ISNUMBER('Lucy Levene'!C21)*(ABS('Lucy Levene'!C21-$E21)&lt;VisitHrs/24)+('Lucy Levene'!D21=$D21)*ISNUMBER('Lucy Levene'!E21)*(ABS('Lucy Levene'!E21-$E21)&lt;VisitHrs/24)+('Lucy Levene'!F21=$D21)*ISNUMBER('Lucy Levene'!G21)*(ABS('Lucy Levene'!G21-$E21)&lt;VisitHrs/24)+('Tom Bock'!B21=$D21)*ISNUMBER('Tom Bock'!C21)*(ABS('Tom Bock'!C21-$E21)&lt;VisitHrs/24)+('Tom Bock'!D21=$D21)*ISNUMBER('Tom Bock'!E21)*(ABS('Tom Bock'!E21-$E21)&lt;VisitHrs/24)+('Tom Bock'!F21=$D21)*ISNUMBER('Tom Bock'!G21)*(ABS('Tom Bock'!G21-$E21)&lt;VisitHrs/24)+(Jeremy!B21=$D21)*ISNUMBER(Jeremy!C21)*(ABS(Jeremy!C21-$E21)&lt;VisitHrs/24)+(Jeremy!D21=$D21)*ISNUMBER(Jeremy!E21)*(ABS(Jeremy!E21-$E21)&lt;VisitHrs/24)+(Jeremy!F21=$D21)*ISNUMBER(Jeremy!G21)*(ABS(Jeremy!G21-$E21)&lt;VisitHrs/24)+('Test Patient'!B21=$D21)*ISNUMBER('Test Patient'!C21)*(ABS('Test Patient'!C21-$E21)&lt;VisitHrs/24)+('Test Patient'!D21=$D21)*ISNUMBER('Test Patient'!E21)*(ABS('Test Patient'!E21-$E21)&lt;VisitHrs/24)+('Test Patient'!F21=$D21)*ISNUMBER('Test Patient'!G21)*(ABS('Test Patient'!G21-$E21)&lt;VisitHrs/24))-1)+('Anita Klesch'!$B21=$D21)*($E21&lt;DayEnd)*($E21+VisitHrs/24&gt;DayStart)+('Anita Klesch'!$C21=$D21)*((($E21+VisitHrs/24&gt;DayEnd)+($E21&lt;DayStart))&gt;0)+('Test Patient 2'!$B21=$D21)*($E21&lt;DayEnd)*($E21+VisitHrs/24&gt;DayStart)+('Test Patient 2'!$C21=$D21)*((($E21+VisitHrs/24&gt;DayEnd)+($E21&lt;DayStart))&gt;0)&gt;=1,1,0),0)</f>
        <v>0</v>
      </c>
      <c r="L21" s="12">
        <f>IF(AND($H21=1,$F21&lt;&gt;"",ISNUMBER($G21)),IF(((('Lucy Levene'!B21=$F21)*ISNUMBER('Lucy Levene'!C21)*(ABS('Lucy Levene'!C21-$G21)&lt;VisitHrs/24)+('Lucy Levene'!D21=$F21)*ISNUMBER('Lucy Levene'!E21)*(ABS('Lucy Levene'!E21-$G21)&lt;VisitHrs/24)+('Lucy Levene'!F21=$F21)*ISNUMBER('Lucy Levene'!G21)*(ABS('Lucy Levene'!G21-$G21)&lt;VisitHrs/24)+('Tom Bock'!B21=$F21)*ISNUMBER('Tom Bock'!C21)*(ABS('Tom Bock'!C21-$G21)&lt;VisitHrs/24)+('Tom Bock'!D21=$F21)*ISNUMBER('Tom Bock'!E21)*(ABS('Tom Bock'!E21-$G21)&lt;VisitHrs/24)+('Tom Bock'!F21=$F21)*ISNUMBER('Tom Bock'!G21)*(ABS('Tom Bock'!G21-$G21)&lt;VisitHrs/24)+(Jeremy!B21=$F21)*ISNUMBER(Jeremy!C21)*(ABS(Jeremy!C21-$G21)&lt;VisitHrs/24)+(Jeremy!D21=$F21)*ISNUMBER(Jeremy!E21)*(ABS(Jeremy!E21-$G21)&lt;VisitHrs/24)+(Jeremy!F21=$F21)*ISNUMBER(Jeremy!G21)*(ABS(Jeremy!G21-$G21)&lt;VisitHrs/24)+('Test Patient'!B21=$F21)*ISNUMBER('Test Patient'!C21)*(ABS('Test Patient'!C21-$G21)&lt;VisitHrs/24)+('Test Patient'!D21=$F21)*ISNUMBER('Test Patient'!E21)*(ABS('Test Patient'!E21-$G21)&lt;VisitHrs/24)+('Test Patient'!F21=$F21)*ISNUMBER('Test Patient'!G21)*(ABS('Test Patient'!G21-$G21)&lt;VisitHrs/24))-1)+('Anita Klesch'!$B21=$F21)*($G21&lt;DayEnd)*($G21+VisitHrs/24&gt;DayStart)+('Anita Klesch'!$C21=$F21)*((($G21+VisitHrs/24&gt;DayEnd)+($G21&lt;DayStart))&gt;0)+('Test Patient 2'!$B21=$F21)*($G21&lt;DayEnd)*($G21+VisitHrs/24&gt;DayStart)+('Test Patient 2'!$C21=$F21)*((($G21+VisitHrs/24&gt;DayEnd)+($G21&lt;DayStart))&gt;0)&gt;=1,1,0),0)</f>
        <v>0</v>
      </c>
      <c r="M21" s="12">
        <f t="shared" si="2"/>
        <v>0</v>
      </c>
      <c r="N21" s="12">
        <f t="shared" si="3"/>
        <v>0</v>
      </c>
      <c r="O21" s="12">
        <f t="shared" si="4"/>
        <v>0</v>
      </c>
    </row>
    <row r="22" spans="1:15" x14ac:dyDescent="0.2">
      <c r="A22" s="2">
        <f t="shared" si="5"/>
        <v>46228</v>
      </c>
      <c r="B22" s="3"/>
      <c r="C22" s="24"/>
      <c r="D22" s="19"/>
      <c r="E22" s="25"/>
      <c r="F22" s="19"/>
      <c r="G22" s="25"/>
      <c r="H22" s="12">
        <f t="shared" si="0"/>
        <v>1</v>
      </c>
      <c r="I22" s="12">
        <f t="shared" si="1"/>
        <v>0</v>
      </c>
      <c r="J22" s="12">
        <f>IF(AND($H22=1,$B22&lt;&gt;"",ISNUMBER($C22)),IF(((('Lucy Levene'!B22=$B22)*ISNUMBER('Lucy Levene'!C22)*(ABS('Lucy Levene'!C22-$C22)&lt;VisitHrs/24)+('Lucy Levene'!D22=$B22)*ISNUMBER('Lucy Levene'!E22)*(ABS('Lucy Levene'!E22-$C22)&lt;VisitHrs/24)+('Lucy Levene'!F22=$B22)*ISNUMBER('Lucy Levene'!G22)*(ABS('Lucy Levene'!G22-$C22)&lt;VisitHrs/24)+('Tom Bock'!B22=$B22)*ISNUMBER('Tom Bock'!C22)*(ABS('Tom Bock'!C22-$C22)&lt;VisitHrs/24)+('Tom Bock'!D22=$B22)*ISNUMBER('Tom Bock'!E22)*(ABS('Tom Bock'!E22-$C22)&lt;VisitHrs/24)+('Tom Bock'!F22=$B22)*ISNUMBER('Tom Bock'!G22)*(ABS('Tom Bock'!G22-$C22)&lt;VisitHrs/24)+(Jeremy!B22=$B22)*ISNUMBER(Jeremy!C22)*(ABS(Jeremy!C22-$C22)&lt;VisitHrs/24)+(Jeremy!D22=$B22)*ISNUMBER(Jeremy!E22)*(ABS(Jeremy!E22-$C22)&lt;VisitHrs/24)+(Jeremy!F22=$B22)*ISNUMBER(Jeremy!G22)*(ABS(Jeremy!G22-$C22)&lt;VisitHrs/24)+('Test Patient'!B22=$B22)*ISNUMBER('Test Patient'!C22)*(ABS('Test Patient'!C22-$C22)&lt;VisitHrs/24)+('Test Patient'!D22=$B22)*ISNUMBER('Test Patient'!E22)*(ABS('Test Patient'!E22-$C22)&lt;VisitHrs/24)+('Test Patient'!F22=$B22)*ISNUMBER('Test Patient'!G22)*(ABS('Test Patient'!G22-$C22)&lt;VisitHrs/24))-1)+('Anita Klesch'!$B22=$B22)*($C22&lt;DayEnd)*($C22+VisitHrs/24&gt;DayStart)+('Anita Klesch'!$C22=$B22)*((($C22+VisitHrs/24&gt;DayEnd)+($C22&lt;DayStart))&gt;0)+('Test Patient 2'!$B22=$B22)*($C22&lt;DayEnd)*($C22+VisitHrs/24&gt;DayStart)+('Test Patient 2'!$C22=$B22)*((($C22+VisitHrs/24&gt;DayEnd)+($C22&lt;DayStart))&gt;0)&gt;=1,1,0),0)</f>
        <v>0</v>
      </c>
      <c r="K22" s="12">
        <f>IF(AND($H22=1,$D22&lt;&gt;"",ISNUMBER($E22)),IF(((('Lucy Levene'!B22=$D22)*ISNUMBER('Lucy Levene'!C22)*(ABS('Lucy Levene'!C22-$E22)&lt;VisitHrs/24)+('Lucy Levene'!D22=$D22)*ISNUMBER('Lucy Levene'!E22)*(ABS('Lucy Levene'!E22-$E22)&lt;VisitHrs/24)+('Lucy Levene'!F22=$D22)*ISNUMBER('Lucy Levene'!G22)*(ABS('Lucy Levene'!G22-$E22)&lt;VisitHrs/24)+('Tom Bock'!B22=$D22)*ISNUMBER('Tom Bock'!C22)*(ABS('Tom Bock'!C22-$E22)&lt;VisitHrs/24)+('Tom Bock'!D22=$D22)*ISNUMBER('Tom Bock'!E22)*(ABS('Tom Bock'!E22-$E22)&lt;VisitHrs/24)+('Tom Bock'!F22=$D22)*ISNUMBER('Tom Bock'!G22)*(ABS('Tom Bock'!G22-$E22)&lt;VisitHrs/24)+(Jeremy!B22=$D22)*ISNUMBER(Jeremy!C22)*(ABS(Jeremy!C22-$E22)&lt;VisitHrs/24)+(Jeremy!D22=$D22)*ISNUMBER(Jeremy!E22)*(ABS(Jeremy!E22-$E22)&lt;VisitHrs/24)+(Jeremy!F22=$D22)*ISNUMBER(Jeremy!G22)*(ABS(Jeremy!G22-$E22)&lt;VisitHrs/24)+('Test Patient'!B22=$D22)*ISNUMBER('Test Patient'!C22)*(ABS('Test Patient'!C22-$E22)&lt;VisitHrs/24)+('Test Patient'!D22=$D22)*ISNUMBER('Test Patient'!E22)*(ABS('Test Patient'!E22-$E22)&lt;VisitHrs/24)+('Test Patient'!F22=$D22)*ISNUMBER('Test Patient'!G22)*(ABS('Test Patient'!G22-$E22)&lt;VisitHrs/24))-1)+('Anita Klesch'!$B22=$D22)*($E22&lt;DayEnd)*($E22+VisitHrs/24&gt;DayStart)+('Anita Klesch'!$C22=$D22)*((($E22+VisitHrs/24&gt;DayEnd)+($E22&lt;DayStart))&gt;0)+('Test Patient 2'!$B22=$D22)*($E22&lt;DayEnd)*($E22+VisitHrs/24&gt;DayStart)+('Test Patient 2'!$C22=$D22)*((($E22+VisitHrs/24&gt;DayEnd)+($E22&lt;DayStart))&gt;0)&gt;=1,1,0),0)</f>
        <v>0</v>
      </c>
      <c r="L22" s="12">
        <f>IF(AND($H22=1,$F22&lt;&gt;"",ISNUMBER($G22)),IF(((('Lucy Levene'!B22=$F22)*ISNUMBER('Lucy Levene'!C22)*(ABS('Lucy Levene'!C22-$G22)&lt;VisitHrs/24)+('Lucy Levene'!D22=$F22)*ISNUMBER('Lucy Levene'!E22)*(ABS('Lucy Levene'!E22-$G22)&lt;VisitHrs/24)+('Lucy Levene'!F22=$F22)*ISNUMBER('Lucy Levene'!G22)*(ABS('Lucy Levene'!G22-$G22)&lt;VisitHrs/24)+('Tom Bock'!B22=$F22)*ISNUMBER('Tom Bock'!C22)*(ABS('Tom Bock'!C22-$G22)&lt;VisitHrs/24)+('Tom Bock'!D22=$F22)*ISNUMBER('Tom Bock'!E22)*(ABS('Tom Bock'!E22-$G22)&lt;VisitHrs/24)+('Tom Bock'!F22=$F22)*ISNUMBER('Tom Bock'!G22)*(ABS('Tom Bock'!G22-$G22)&lt;VisitHrs/24)+(Jeremy!B22=$F22)*ISNUMBER(Jeremy!C22)*(ABS(Jeremy!C22-$G22)&lt;VisitHrs/24)+(Jeremy!D22=$F22)*ISNUMBER(Jeremy!E22)*(ABS(Jeremy!E22-$G22)&lt;VisitHrs/24)+(Jeremy!F22=$F22)*ISNUMBER(Jeremy!G22)*(ABS(Jeremy!G22-$G22)&lt;VisitHrs/24)+('Test Patient'!B22=$F22)*ISNUMBER('Test Patient'!C22)*(ABS('Test Patient'!C22-$G22)&lt;VisitHrs/24)+('Test Patient'!D22=$F22)*ISNUMBER('Test Patient'!E22)*(ABS('Test Patient'!E22-$G22)&lt;VisitHrs/24)+('Test Patient'!F22=$F22)*ISNUMBER('Test Patient'!G22)*(ABS('Test Patient'!G22-$G22)&lt;VisitHrs/24))-1)+('Anita Klesch'!$B22=$F22)*($G22&lt;DayEnd)*($G22+VisitHrs/24&gt;DayStart)+('Anita Klesch'!$C22=$F22)*((($G22+VisitHrs/24&gt;DayEnd)+($G22&lt;DayStart))&gt;0)+('Test Patient 2'!$B22=$F22)*($G22&lt;DayEnd)*($G22+VisitHrs/24&gt;DayStart)+('Test Patient 2'!$C22=$F22)*((($G22+VisitHrs/24&gt;DayEnd)+($G22&lt;DayStart))&gt;0)&gt;=1,1,0),0)</f>
        <v>0</v>
      </c>
      <c r="M22" s="12">
        <f t="shared" si="2"/>
        <v>0</v>
      </c>
      <c r="N22" s="12">
        <f t="shared" si="3"/>
        <v>0</v>
      </c>
      <c r="O22" s="12">
        <f t="shared" si="4"/>
        <v>0</v>
      </c>
    </row>
    <row r="23" spans="1:15" x14ac:dyDescent="0.2">
      <c r="A23" s="2">
        <f t="shared" si="5"/>
        <v>46229</v>
      </c>
      <c r="B23" s="3"/>
      <c r="C23" s="24"/>
      <c r="D23" s="19"/>
      <c r="E23" s="25"/>
      <c r="F23" s="19"/>
      <c r="G23" s="25"/>
      <c r="H23" s="12">
        <f t="shared" si="0"/>
        <v>1</v>
      </c>
      <c r="I23" s="12">
        <f t="shared" si="1"/>
        <v>0</v>
      </c>
      <c r="J23" s="12">
        <f>IF(AND($H23=1,$B23&lt;&gt;"",ISNUMBER($C23)),IF(((('Lucy Levene'!B23=$B23)*ISNUMBER('Lucy Levene'!C23)*(ABS('Lucy Levene'!C23-$C23)&lt;VisitHrs/24)+('Lucy Levene'!D23=$B23)*ISNUMBER('Lucy Levene'!E23)*(ABS('Lucy Levene'!E23-$C23)&lt;VisitHrs/24)+('Lucy Levene'!F23=$B23)*ISNUMBER('Lucy Levene'!G23)*(ABS('Lucy Levene'!G23-$C23)&lt;VisitHrs/24)+('Tom Bock'!B23=$B23)*ISNUMBER('Tom Bock'!C23)*(ABS('Tom Bock'!C23-$C23)&lt;VisitHrs/24)+('Tom Bock'!D23=$B23)*ISNUMBER('Tom Bock'!E23)*(ABS('Tom Bock'!E23-$C23)&lt;VisitHrs/24)+('Tom Bock'!F23=$B23)*ISNUMBER('Tom Bock'!G23)*(ABS('Tom Bock'!G23-$C23)&lt;VisitHrs/24)+(Jeremy!B23=$B23)*ISNUMBER(Jeremy!C23)*(ABS(Jeremy!C23-$C23)&lt;VisitHrs/24)+(Jeremy!D23=$B23)*ISNUMBER(Jeremy!E23)*(ABS(Jeremy!E23-$C23)&lt;VisitHrs/24)+(Jeremy!F23=$B23)*ISNUMBER(Jeremy!G23)*(ABS(Jeremy!G23-$C23)&lt;VisitHrs/24)+('Test Patient'!B23=$B23)*ISNUMBER('Test Patient'!C23)*(ABS('Test Patient'!C23-$C23)&lt;VisitHrs/24)+('Test Patient'!D23=$B23)*ISNUMBER('Test Patient'!E23)*(ABS('Test Patient'!E23-$C23)&lt;VisitHrs/24)+('Test Patient'!F23=$B23)*ISNUMBER('Test Patient'!G23)*(ABS('Test Patient'!G23-$C23)&lt;VisitHrs/24))-1)+('Anita Klesch'!$B23=$B23)*($C23&lt;DayEnd)*($C23+VisitHrs/24&gt;DayStart)+('Anita Klesch'!$C23=$B23)*((($C23+VisitHrs/24&gt;DayEnd)+($C23&lt;DayStart))&gt;0)+('Test Patient 2'!$B23=$B23)*($C23&lt;DayEnd)*($C23+VisitHrs/24&gt;DayStart)+('Test Patient 2'!$C23=$B23)*((($C23+VisitHrs/24&gt;DayEnd)+($C23&lt;DayStart))&gt;0)&gt;=1,1,0),0)</f>
        <v>0</v>
      </c>
      <c r="K23" s="12">
        <f>IF(AND($H23=1,$D23&lt;&gt;"",ISNUMBER($E23)),IF(((('Lucy Levene'!B23=$D23)*ISNUMBER('Lucy Levene'!C23)*(ABS('Lucy Levene'!C23-$E23)&lt;VisitHrs/24)+('Lucy Levene'!D23=$D23)*ISNUMBER('Lucy Levene'!E23)*(ABS('Lucy Levene'!E23-$E23)&lt;VisitHrs/24)+('Lucy Levene'!F23=$D23)*ISNUMBER('Lucy Levene'!G23)*(ABS('Lucy Levene'!G23-$E23)&lt;VisitHrs/24)+('Tom Bock'!B23=$D23)*ISNUMBER('Tom Bock'!C23)*(ABS('Tom Bock'!C23-$E23)&lt;VisitHrs/24)+('Tom Bock'!D23=$D23)*ISNUMBER('Tom Bock'!E23)*(ABS('Tom Bock'!E23-$E23)&lt;VisitHrs/24)+('Tom Bock'!F23=$D23)*ISNUMBER('Tom Bock'!G23)*(ABS('Tom Bock'!G23-$E23)&lt;VisitHrs/24)+(Jeremy!B23=$D23)*ISNUMBER(Jeremy!C23)*(ABS(Jeremy!C23-$E23)&lt;VisitHrs/24)+(Jeremy!D23=$D23)*ISNUMBER(Jeremy!E23)*(ABS(Jeremy!E23-$E23)&lt;VisitHrs/24)+(Jeremy!F23=$D23)*ISNUMBER(Jeremy!G23)*(ABS(Jeremy!G23-$E23)&lt;VisitHrs/24)+('Test Patient'!B23=$D23)*ISNUMBER('Test Patient'!C23)*(ABS('Test Patient'!C23-$E23)&lt;VisitHrs/24)+('Test Patient'!D23=$D23)*ISNUMBER('Test Patient'!E23)*(ABS('Test Patient'!E23-$E23)&lt;VisitHrs/24)+('Test Patient'!F23=$D23)*ISNUMBER('Test Patient'!G23)*(ABS('Test Patient'!G23-$E23)&lt;VisitHrs/24))-1)+('Anita Klesch'!$B23=$D23)*($E23&lt;DayEnd)*($E23+VisitHrs/24&gt;DayStart)+('Anita Klesch'!$C23=$D23)*((($E23+VisitHrs/24&gt;DayEnd)+($E23&lt;DayStart))&gt;0)+('Test Patient 2'!$B23=$D23)*($E23&lt;DayEnd)*($E23+VisitHrs/24&gt;DayStart)+('Test Patient 2'!$C23=$D23)*((($E23+VisitHrs/24&gt;DayEnd)+($E23&lt;DayStart))&gt;0)&gt;=1,1,0),0)</f>
        <v>0</v>
      </c>
      <c r="L23" s="12">
        <f>IF(AND($H23=1,$F23&lt;&gt;"",ISNUMBER($G23)),IF(((('Lucy Levene'!B23=$F23)*ISNUMBER('Lucy Levene'!C23)*(ABS('Lucy Levene'!C23-$G23)&lt;VisitHrs/24)+('Lucy Levene'!D23=$F23)*ISNUMBER('Lucy Levene'!E23)*(ABS('Lucy Levene'!E23-$G23)&lt;VisitHrs/24)+('Lucy Levene'!F23=$F23)*ISNUMBER('Lucy Levene'!G23)*(ABS('Lucy Levene'!G23-$G23)&lt;VisitHrs/24)+('Tom Bock'!B23=$F23)*ISNUMBER('Tom Bock'!C23)*(ABS('Tom Bock'!C23-$G23)&lt;VisitHrs/24)+('Tom Bock'!D23=$F23)*ISNUMBER('Tom Bock'!E23)*(ABS('Tom Bock'!E23-$G23)&lt;VisitHrs/24)+('Tom Bock'!F23=$F23)*ISNUMBER('Tom Bock'!G23)*(ABS('Tom Bock'!G23-$G23)&lt;VisitHrs/24)+(Jeremy!B23=$F23)*ISNUMBER(Jeremy!C23)*(ABS(Jeremy!C23-$G23)&lt;VisitHrs/24)+(Jeremy!D23=$F23)*ISNUMBER(Jeremy!E23)*(ABS(Jeremy!E23-$G23)&lt;VisitHrs/24)+(Jeremy!F23=$F23)*ISNUMBER(Jeremy!G23)*(ABS(Jeremy!G23-$G23)&lt;VisitHrs/24)+('Test Patient'!B23=$F23)*ISNUMBER('Test Patient'!C23)*(ABS('Test Patient'!C23-$G23)&lt;VisitHrs/24)+('Test Patient'!D23=$F23)*ISNUMBER('Test Patient'!E23)*(ABS('Test Patient'!E23-$G23)&lt;VisitHrs/24)+('Test Patient'!F23=$F23)*ISNUMBER('Test Patient'!G23)*(ABS('Test Patient'!G23-$G23)&lt;VisitHrs/24))-1)+('Anita Klesch'!$B23=$F23)*($G23&lt;DayEnd)*($G23+VisitHrs/24&gt;DayStart)+('Anita Klesch'!$C23=$F23)*((($G23+VisitHrs/24&gt;DayEnd)+($G23&lt;DayStart))&gt;0)+('Test Patient 2'!$B23=$F23)*($G23&lt;DayEnd)*($G23+VisitHrs/24&gt;DayStart)+('Test Patient 2'!$C23=$F23)*((($G23+VisitHrs/24&gt;DayEnd)+($G23&lt;DayStart))&gt;0)&gt;=1,1,0),0)</f>
        <v>0</v>
      </c>
      <c r="M23" s="12">
        <f t="shared" si="2"/>
        <v>0</v>
      </c>
      <c r="N23" s="12">
        <f t="shared" si="3"/>
        <v>0</v>
      </c>
      <c r="O23" s="12">
        <f t="shared" si="4"/>
        <v>0</v>
      </c>
    </row>
    <row r="24" spans="1:15" x14ac:dyDescent="0.2">
      <c r="A24" s="2">
        <f t="shared" si="5"/>
        <v>46230</v>
      </c>
      <c r="B24" s="3"/>
      <c r="C24" s="24"/>
      <c r="D24" s="19"/>
      <c r="E24" s="25"/>
      <c r="F24" s="19"/>
      <c r="G24" s="25"/>
      <c r="H24" s="12">
        <f t="shared" si="0"/>
        <v>1</v>
      </c>
      <c r="I24" s="12">
        <f t="shared" si="1"/>
        <v>0</v>
      </c>
      <c r="J24" s="12">
        <f>IF(AND($H24=1,$B24&lt;&gt;"",ISNUMBER($C24)),IF(((('Lucy Levene'!B24=$B24)*ISNUMBER('Lucy Levene'!C24)*(ABS('Lucy Levene'!C24-$C24)&lt;VisitHrs/24)+('Lucy Levene'!D24=$B24)*ISNUMBER('Lucy Levene'!E24)*(ABS('Lucy Levene'!E24-$C24)&lt;VisitHrs/24)+('Lucy Levene'!F24=$B24)*ISNUMBER('Lucy Levene'!G24)*(ABS('Lucy Levene'!G24-$C24)&lt;VisitHrs/24)+('Tom Bock'!B24=$B24)*ISNUMBER('Tom Bock'!C24)*(ABS('Tom Bock'!C24-$C24)&lt;VisitHrs/24)+('Tom Bock'!D24=$B24)*ISNUMBER('Tom Bock'!E24)*(ABS('Tom Bock'!E24-$C24)&lt;VisitHrs/24)+('Tom Bock'!F24=$B24)*ISNUMBER('Tom Bock'!G24)*(ABS('Tom Bock'!G24-$C24)&lt;VisitHrs/24)+(Jeremy!B24=$B24)*ISNUMBER(Jeremy!C24)*(ABS(Jeremy!C24-$C24)&lt;VisitHrs/24)+(Jeremy!D24=$B24)*ISNUMBER(Jeremy!E24)*(ABS(Jeremy!E24-$C24)&lt;VisitHrs/24)+(Jeremy!F24=$B24)*ISNUMBER(Jeremy!G24)*(ABS(Jeremy!G24-$C24)&lt;VisitHrs/24)+('Test Patient'!B24=$B24)*ISNUMBER('Test Patient'!C24)*(ABS('Test Patient'!C24-$C24)&lt;VisitHrs/24)+('Test Patient'!D24=$B24)*ISNUMBER('Test Patient'!E24)*(ABS('Test Patient'!E24-$C24)&lt;VisitHrs/24)+('Test Patient'!F24=$B24)*ISNUMBER('Test Patient'!G24)*(ABS('Test Patient'!G24-$C24)&lt;VisitHrs/24))-1)+('Anita Klesch'!$B24=$B24)*($C24&lt;DayEnd)*($C24+VisitHrs/24&gt;DayStart)+('Anita Klesch'!$C24=$B24)*((($C24+VisitHrs/24&gt;DayEnd)+($C24&lt;DayStart))&gt;0)+('Test Patient 2'!$B24=$B24)*($C24&lt;DayEnd)*($C24+VisitHrs/24&gt;DayStart)+('Test Patient 2'!$C24=$B24)*((($C24+VisitHrs/24&gt;DayEnd)+($C24&lt;DayStart))&gt;0)&gt;=1,1,0),0)</f>
        <v>0</v>
      </c>
      <c r="K24" s="12">
        <f>IF(AND($H24=1,$D24&lt;&gt;"",ISNUMBER($E24)),IF(((('Lucy Levene'!B24=$D24)*ISNUMBER('Lucy Levene'!C24)*(ABS('Lucy Levene'!C24-$E24)&lt;VisitHrs/24)+('Lucy Levene'!D24=$D24)*ISNUMBER('Lucy Levene'!E24)*(ABS('Lucy Levene'!E24-$E24)&lt;VisitHrs/24)+('Lucy Levene'!F24=$D24)*ISNUMBER('Lucy Levene'!G24)*(ABS('Lucy Levene'!G24-$E24)&lt;VisitHrs/24)+('Tom Bock'!B24=$D24)*ISNUMBER('Tom Bock'!C24)*(ABS('Tom Bock'!C24-$E24)&lt;VisitHrs/24)+('Tom Bock'!D24=$D24)*ISNUMBER('Tom Bock'!E24)*(ABS('Tom Bock'!E24-$E24)&lt;VisitHrs/24)+('Tom Bock'!F24=$D24)*ISNUMBER('Tom Bock'!G24)*(ABS('Tom Bock'!G24-$E24)&lt;VisitHrs/24)+(Jeremy!B24=$D24)*ISNUMBER(Jeremy!C24)*(ABS(Jeremy!C24-$E24)&lt;VisitHrs/24)+(Jeremy!D24=$D24)*ISNUMBER(Jeremy!E24)*(ABS(Jeremy!E24-$E24)&lt;VisitHrs/24)+(Jeremy!F24=$D24)*ISNUMBER(Jeremy!G24)*(ABS(Jeremy!G24-$E24)&lt;VisitHrs/24)+('Test Patient'!B24=$D24)*ISNUMBER('Test Patient'!C24)*(ABS('Test Patient'!C24-$E24)&lt;VisitHrs/24)+('Test Patient'!D24=$D24)*ISNUMBER('Test Patient'!E24)*(ABS('Test Patient'!E24-$E24)&lt;VisitHrs/24)+('Test Patient'!F24=$D24)*ISNUMBER('Test Patient'!G24)*(ABS('Test Patient'!G24-$E24)&lt;VisitHrs/24))-1)+('Anita Klesch'!$B24=$D24)*($E24&lt;DayEnd)*($E24+VisitHrs/24&gt;DayStart)+('Anita Klesch'!$C24=$D24)*((($E24+VisitHrs/24&gt;DayEnd)+($E24&lt;DayStart))&gt;0)+('Test Patient 2'!$B24=$D24)*($E24&lt;DayEnd)*($E24+VisitHrs/24&gt;DayStart)+('Test Patient 2'!$C24=$D24)*((($E24+VisitHrs/24&gt;DayEnd)+($E24&lt;DayStart))&gt;0)&gt;=1,1,0),0)</f>
        <v>0</v>
      </c>
      <c r="L24" s="12">
        <f>IF(AND($H24=1,$F24&lt;&gt;"",ISNUMBER($G24)),IF(((('Lucy Levene'!B24=$F24)*ISNUMBER('Lucy Levene'!C24)*(ABS('Lucy Levene'!C24-$G24)&lt;VisitHrs/24)+('Lucy Levene'!D24=$F24)*ISNUMBER('Lucy Levene'!E24)*(ABS('Lucy Levene'!E24-$G24)&lt;VisitHrs/24)+('Lucy Levene'!F24=$F24)*ISNUMBER('Lucy Levene'!G24)*(ABS('Lucy Levene'!G24-$G24)&lt;VisitHrs/24)+('Tom Bock'!B24=$F24)*ISNUMBER('Tom Bock'!C24)*(ABS('Tom Bock'!C24-$G24)&lt;VisitHrs/24)+('Tom Bock'!D24=$F24)*ISNUMBER('Tom Bock'!E24)*(ABS('Tom Bock'!E24-$G24)&lt;VisitHrs/24)+('Tom Bock'!F24=$F24)*ISNUMBER('Tom Bock'!G24)*(ABS('Tom Bock'!G24-$G24)&lt;VisitHrs/24)+(Jeremy!B24=$F24)*ISNUMBER(Jeremy!C24)*(ABS(Jeremy!C24-$G24)&lt;VisitHrs/24)+(Jeremy!D24=$F24)*ISNUMBER(Jeremy!E24)*(ABS(Jeremy!E24-$G24)&lt;VisitHrs/24)+(Jeremy!F24=$F24)*ISNUMBER(Jeremy!G24)*(ABS(Jeremy!G24-$G24)&lt;VisitHrs/24)+('Test Patient'!B24=$F24)*ISNUMBER('Test Patient'!C24)*(ABS('Test Patient'!C24-$G24)&lt;VisitHrs/24)+('Test Patient'!D24=$F24)*ISNUMBER('Test Patient'!E24)*(ABS('Test Patient'!E24-$G24)&lt;VisitHrs/24)+('Test Patient'!F24=$F24)*ISNUMBER('Test Patient'!G24)*(ABS('Test Patient'!G24-$G24)&lt;VisitHrs/24))-1)+('Anita Klesch'!$B24=$F24)*($G24&lt;DayEnd)*($G24+VisitHrs/24&gt;DayStart)+('Anita Klesch'!$C24=$F24)*((($G24+VisitHrs/24&gt;DayEnd)+($G24&lt;DayStart))&gt;0)+('Test Patient 2'!$B24=$F24)*($G24&lt;DayEnd)*($G24+VisitHrs/24&gt;DayStart)+('Test Patient 2'!$C24=$F24)*((($G24+VisitHrs/24&gt;DayEnd)+($G24&lt;DayStart))&gt;0)&gt;=1,1,0),0)</f>
        <v>0</v>
      </c>
      <c r="M24" s="12">
        <f t="shared" si="2"/>
        <v>0</v>
      </c>
      <c r="N24" s="12">
        <f t="shared" si="3"/>
        <v>0</v>
      </c>
      <c r="O24" s="12">
        <f t="shared" si="4"/>
        <v>0</v>
      </c>
    </row>
    <row r="25" spans="1:15" x14ac:dyDescent="0.2">
      <c r="A25" s="2">
        <f t="shared" si="5"/>
        <v>46231</v>
      </c>
      <c r="B25" s="3"/>
      <c r="C25" s="24"/>
      <c r="D25" s="19"/>
      <c r="E25" s="25"/>
      <c r="F25" s="19"/>
      <c r="G25" s="25"/>
      <c r="H25" s="12">
        <f t="shared" si="0"/>
        <v>1</v>
      </c>
      <c r="I25" s="12">
        <f t="shared" si="1"/>
        <v>0</v>
      </c>
      <c r="J25" s="12">
        <f>IF(AND($H25=1,$B25&lt;&gt;"",ISNUMBER($C25)),IF(((('Lucy Levene'!B25=$B25)*ISNUMBER('Lucy Levene'!C25)*(ABS('Lucy Levene'!C25-$C25)&lt;VisitHrs/24)+('Lucy Levene'!D25=$B25)*ISNUMBER('Lucy Levene'!E25)*(ABS('Lucy Levene'!E25-$C25)&lt;VisitHrs/24)+('Lucy Levene'!F25=$B25)*ISNUMBER('Lucy Levene'!G25)*(ABS('Lucy Levene'!G25-$C25)&lt;VisitHrs/24)+('Tom Bock'!B25=$B25)*ISNUMBER('Tom Bock'!C25)*(ABS('Tom Bock'!C25-$C25)&lt;VisitHrs/24)+('Tom Bock'!D25=$B25)*ISNUMBER('Tom Bock'!E25)*(ABS('Tom Bock'!E25-$C25)&lt;VisitHrs/24)+('Tom Bock'!F25=$B25)*ISNUMBER('Tom Bock'!G25)*(ABS('Tom Bock'!G25-$C25)&lt;VisitHrs/24)+(Jeremy!B25=$B25)*ISNUMBER(Jeremy!C25)*(ABS(Jeremy!C25-$C25)&lt;VisitHrs/24)+(Jeremy!D25=$B25)*ISNUMBER(Jeremy!E25)*(ABS(Jeremy!E25-$C25)&lt;VisitHrs/24)+(Jeremy!F25=$B25)*ISNUMBER(Jeremy!G25)*(ABS(Jeremy!G25-$C25)&lt;VisitHrs/24)+('Test Patient'!B25=$B25)*ISNUMBER('Test Patient'!C25)*(ABS('Test Patient'!C25-$C25)&lt;VisitHrs/24)+('Test Patient'!D25=$B25)*ISNUMBER('Test Patient'!E25)*(ABS('Test Patient'!E25-$C25)&lt;VisitHrs/24)+('Test Patient'!F25=$B25)*ISNUMBER('Test Patient'!G25)*(ABS('Test Patient'!G25-$C25)&lt;VisitHrs/24))-1)+('Anita Klesch'!$B25=$B25)*($C25&lt;DayEnd)*($C25+VisitHrs/24&gt;DayStart)+('Anita Klesch'!$C25=$B25)*((($C25+VisitHrs/24&gt;DayEnd)+($C25&lt;DayStart))&gt;0)+('Test Patient 2'!$B25=$B25)*($C25&lt;DayEnd)*($C25+VisitHrs/24&gt;DayStart)+('Test Patient 2'!$C25=$B25)*((($C25+VisitHrs/24&gt;DayEnd)+($C25&lt;DayStart))&gt;0)&gt;=1,1,0),0)</f>
        <v>0</v>
      </c>
      <c r="K25" s="12">
        <f>IF(AND($H25=1,$D25&lt;&gt;"",ISNUMBER($E25)),IF(((('Lucy Levene'!B25=$D25)*ISNUMBER('Lucy Levene'!C25)*(ABS('Lucy Levene'!C25-$E25)&lt;VisitHrs/24)+('Lucy Levene'!D25=$D25)*ISNUMBER('Lucy Levene'!E25)*(ABS('Lucy Levene'!E25-$E25)&lt;VisitHrs/24)+('Lucy Levene'!F25=$D25)*ISNUMBER('Lucy Levene'!G25)*(ABS('Lucy Levene'!G25-$E25)&lt;VisitHrs/24)+('Tom Bock'!B25=$D25)*ISNUMBER('Tom Bock'!C25)*(ABS('Tom Bock'!C25-$E25)&lt;VisitHrs/24)+('Tom Bock'!D25=$D25)*ISNUMBER('Tom Bock'!E25)*(ABS('Tom Bock'!E25-$E25)&lt;VisitHrs/24)+('Tom Bock'!F25=$D25)*ISNUMBER('Tom Bock'!G25)*(ABS('Tom Bock'!G25-$E25)&lt;VisitHrs/24)+(Jeremy!B25=$D25)*ISNUMBER(Jeremy!C25)*(ABS(Jeremy!C25-$E25)&lt;VisitHrs/24)+(Jeremy!D25=$D25)*ISNUMBER(Jeremy!E25)*(ABS(Jeremy!E25-$E25)&lt;VisitHrs/24)+(Jeremy!F25=$D25)*ISNUMBER(Jeremy!G25)*(ABS(Jeremy!G25-$E25)&lt;VisitHrs/24)+('Test Patient'!B25=$D25)*ISNUMBER('Test Patient'!C25)*(ABS('Test Patient'!C25-$E25)&lt;VisitHrs/24)+('Test Patient'!D25=$D25)*ISNUMBER('Test Patient'!E25)*(ABS('Test Patient'!E25-$E25)&lt;VisitHrs/24)+('Test Patient'!F25=$D25)*ISNUMBER('Test Patient'!G25)*(ABS('Test Patient'!G25-$E25)&lt;VisitHrs/24))-1)+('Anita Klesch'!$B25=$D25)*($E25&lt;DayEnd)*($E25+VisitHrs/24&gt;DayStart)+('Anita Klesch'!$C25=$D25)*((($E25+VisitHrs/24&gt;DayEnd)+($E25&lt;DayStart))&gt;0)+('Test Patient 2'!$B25=$D25)*($E25&lt;DayEnd)*($E25+VisitHrs/24&gt;DayStart)+('Test Patient 2'!$C25=$D25)*((($E25+VisitHrs/24&gt;DayEnd)+($E25&lt;DayStart))&gt;0)&gt;=1,1,0),0)</f>
        <v>0</v>
      </c>
      <c r="L25" s="12">
        <f>IF(AND($H25=1,$F25&lt;&gt;"",ISNUMBER($G25)),IF(((('Lucy Levene'!B25=$F25)*ISNUMBER('Lucy Levene'!C25)*(ABS('Lucy Levene'!C25-$G25)&lt;VisitHrs/24)+('Lucy Levene'!D25=$F25)*ISNUMBER('Lucy Levene'!E25)*(ABS('Lucy Levene'!E25-$G25)&lt;VisitHrs/24)+('Lucy Levene'!F25=$F25)*ISNUMBER('Lucy Levene'!G25)*(ABS('Lucy Levene'!G25-$G25)&lt;VisitHrs/24)+('Tom Bock'!B25=$F25)*ISNUMBER('Tom Bock'!C25)*(ABS('Tom Bock'!C25-$G25)&lt;VisitHrs/24)+('Tom Bock'!D25=$F25)*ISNUMBER('Tom Bock'!E25)*(ABS('Tom Bock'!E25-$G25)&lt;VisitHrs/24)+('Tom Bock'!F25=$F25)*ISNUMBER('Tom Bock'!G25)*(ABS('Tom Bock'!G25-$G25)&lt;VisitHrs/24)+(Jeremy!B25=$F25)*ISNUMBER(Jeremy!C25)*(ABS(Jeremy!C25-$G25)&lt;VisitHrs/24)+(Jeremy!D25=$F25)*ISNUMBER(Jeremy!E25)*(ABS(Jeremy!E25-$G25)&lt;VisitHrs/24)+(Jeremy!F25=$F25)*ISNUMBER(Jeremy!G25)*(ABS(Jeremy!G25-$G25)&lt;VisitHrs/24)+('Test Patient'!B25=$F25)*ISNUMBER('Test Patient'!C25)*(ABS('Test Patient'!C25-$G25)&lt;VisitHrs/24)+('Test Patient'!D25=$F25)*ISNUMBER('Test Patient'!E25)*(ABS('Test Patient'!E25-$G25)&lt;VisitHrs/24)+('Test Patient'!F25=$F25)*ISNUMBER('Test Patient'!G25)*(ABS('Test Patient'!G25-$G25)&lt;VisitHrs/24))-1)+('Anita Klesch'!$B25=$F25)*($G25&lt;DayEnd)*($G25+VisitHrs/24&gt;DayStart)+('Anita Klesch'!$C25=$F25)*((($G25+VisitHrs/24&gt;DayEnd)+($G25&lt;DayStart))&gt;0)+('Test Patient 2'!$B25=$F25)*($G25&lt;DayEnd)*($G25+VisitHrs/24&gt;DayStart)+('Test Patient 2'!$C25=$F25)*((($G25+VisitHrs/24&gt;DayEnd)+($G25&lt;DayStart))&gt;0)&gt;=1,1,0),0)</f>
        <v>0</v>
      </c>
      <c r="M25" s="12">
        <f t="shared" si="2"/>
        <v>0</v>
      </c>
      <c r="N25" s="12">
        <f t="shared" si="3"/>
        <v>0</v>
      </c>
      <c r="O25" s="12">
        <f t="shared" si="4"/>
        <v>0</v>
      </c>
    </row>
    <row r="26" spans="1:15" x14ac:dyDescent="0.2">
      <c r="A26" s="2">
        <f t="shared" si="5"/>
        <v>46232</v>
      </c>
      <c r="B26" s="3"/>
      <c r="C26" s="24"/>
      <c r="D26" s="19"/>
      <c r="E26" s="25"/>
      <c r="F26" s="19"/>
      <c r="G26" s="25"/>
      <c r="H26" s="12">
        <f t="shared" si="0"/>
        <v>1</v>
      </c>
      <c r="I26" s="12">
        <f t="shared" si="1"/>
        <v>0</v>
      </c>
      <c r="J26" s="12">
        <f>IF(AND($H26=1,$B26&lt;&gt;"",ISNUMBER($C26)),IF(((('Lucy Levene'!B26=$B26)*ISNUMBER('Lucy Levene'!C26)*(ABS('Lucy Levene'!C26-$C26)&lt;VisitHrs/24)+('Lucy Levene'!D26=$B26)*ISNUMBER('Lucy Levene'!E26)*(ABS('Lucy Levene'!E26-$C26)&lt;VisitHrs/24)+('Lucy Levene'!F26=$B26)*ISNUMBER('Lucy Levene'!G26)*(ABS('Lucy Levene'!G26-$C26)&lt;VisitHrs/24)+('Tom Bock'!B26=$B26)*ISNUMBER('Tom Bock'!C26)*(ABS('Tom Bock'!C26-$C26)&lt;VisitHrs/24)+('Tom Bock'!D26=$B26)*ISNUMBER('Tom Bock'!E26)*(ABS('Tom Bock'!E26-$C26)&lt;VisitHrs/24)+('Tom Bock'!F26=$B26)*ISNUMBER('Tom Bock'!G26)*(ABS('Tom Bock'!G26-$C26)&lt;VisitHrs/24)+(Jeremy!B26=$B26)*ISNUMBER(Jeremy!C26)*(ABS(Jeremy!C26-$C26)&lt;VisitHrs/24)+(Jeremy!D26=$B26)*ISNUMBER(Jeremy!E26)*(ABS(Jeremy!E26-$C26)&lt;VisitHrs/24)+(Jeremy!F26=$B26)*ISNUMBER(Jeremy!G26)*(ABS(Jeremy!G26-$C26)&lt;VisitHrs/24)+('Test Patient'!B26=$B26)*ISNUMBER('Test Patient'!C26)*(ABS('Test Patient'!C26-$C26)&lt;VisitHrs/24)+('Test Patient'!D26=$B26)*ISNUMBER('Test Patient'!E26)*(ABS('Test Patient'!E26-$C26)&lt;VisitHrs/24)+('Test Patient'!F26=$B26)*ISNUMBER('Test Patient'!G26)*(ABS('Test Patient'!G26-$C26)&lt;VisitHrs/24))-1)+('Anita Klesch'!$B26=$B26)*($C26&lt;DayEnd)*($C26+VisitHrs/24&gt;DayStart)+('Anita Klesch'!$C26=$B26)*((($C26+VisitHrs/24&gt;DayEnd)+($C26&lt;DayStart))&gt;0)+('Test Patient 2'!$B26=$B26)*($C26&lt;DayEnd)*($C26+VisitHrs/24&gt;DayStart)+('Test Patient 2'!$C26=$B26)*((($C26+VisitHrs/24&gt;DayEnd)+($C26&lt;DayStart))&gt;0)&gt;=1,1,0),0)</f>
        <v>0</v>
      </c>
      <c r="K26" s="12">
        <f>IF(AND($H26=1,$D26&lt;&gt;"",ISNUMBER($E26)),IF(((('Lucy Levene'!B26=$D26)*ISNUMBER('Lucy Levene'!C26)*(ABS('Lucy Levene'!C26-$E26)&lt;VisitHrs/24)+('Lucy Levene'!D26=$D26)*ISNUMBER('Lucy Levene'!E26)*(ABS('Lucy Levene'!E26-$E26)&lt;VisitHrs/24)+('Lucy Levene'!F26=$D26)*ISNUMBER('Lucy Levene'!G26)*(ABS('Lucy Levene'!G26-$E26)&lt;VisitHrs/24)+('Tom Bock'!B26=$D26)*ISNUMBER('Tom Bock'!C26)*(ABS('Tom Bock'!C26-$E26)&lt;VisitHrs/24)+('Tom Bock'!D26=$D26)*ISNUMBER('Tom Bock'!E26)*(ABS('Tom Bock'!E26-$E26)&lt;VisitHrs/24)+('Tom Bock'!F26=$D26)*ISNUMBER('Tom Bock'!G26)*(ABS('Tom Bock'!G26-$E26)&lt;VisitHrs/24)+(Jeremy!B26=$D26)*ISNUMBER(Jeremy!C26)*(ABS(Jeremy!C26-$E26)&lt;VisitHrs/24)+(Jeremy!D26=$D26)*ISNUMBER(Jeremy!E26)*(ABS(Jeremy!E26-$E26)&lt;VisitHrs/24)+(Jeremy!F26=$D26)*ISNUMBER(Jeremy!G26)*(ABS(Jeremy!G26-$E26)&lt;VisitHrs/24)+('Test Patient'!B26=$D26)*ISNUMBER('Test Patient'!C26)*(ABS('Test Patient'!C26-$E26)&lt;VisitHrs/24)+('Test Patient'!D26=$D26)*ISNUMBER('Test Patient'!E26)*(ABS('Test Patient'!E26-$E26)&lt;VisitHrs/24)+('Test Patient'!F26=$D26)*ISNUMBER('Test Patient'!G26)*(ABS('Test Patient'!G26-$E26)&lt;VisitHrs/24))-1)+('Anita Klesch'!$B26=$D26)*($E26&lt;DayEnd)*($E26+VisitHrs/24&gt;DayStart)+('Anita Klesch'!$C26=$D26)*((($E26+VisitHrs/24&gt;DayEnd)+($E26&lt;DayStart))&gt;0)+('Test Patient 2'!$B26=$D26)*($E26&lt;DayEnd)*($E26+VisitHrs/24&gt;DayStart)+('Test Patient 2'!$C26=$D26)*((($E26+VisitHrs/24&gt;DayEnd)+($E26&lt;DayStart))&gt;0)&gt;=1,1,0),0)</f>
        <v>0</v>
      </c>
      <c r="L26" s="12">
        <f>IF(AND($H26=1,$F26&lt;&gt;"",ISNUMBER($G26)),IF(((('Lucy Levene'!B26=$F26)*ISNUMBER('Lucy Levene'!C26)*(ABS('Lucy Levene'!C26-$G26)&lt;VisitHrs/24)+('Lucy Levene'!D26=$F26)*ISNUMBER('Lucy Levene'!E26)*(ABS('Lucy Levene'!E26-$G26)&lt;VisitHrs/24)+('Lucy Levene'!F26=$F26)*ISNUMBER('Lucy Levene'!G26)*(ABS('Lucy Levene'!G26-$G26)&lt;VisitHrs/24)+('Tom Bock'!B26=$F26)*ISNUMBER('Tom Bock'!C26)*(ABS('Tom Bock'!C26-$G26)&lt;VisitHrs/24)+('Tom Bock'!D26=$F26)*ISNUMBER('Tom Bock'!E26)*(ABS('Tom Bock'!E26-$G26)&lt;VisitHrs/24)+('Tom Bock'!F26=$F26)*ISNUMBER('Tom Bock'!G26)*(ABS('Tom Bock'!G26-$G26)&lt;VisitHrs/24)+(Jeremy!B26=$F26)*ISNUMBER(Jeremy!C26)*(ABS(Jeremy!C26-$G26)&lt;VisitHrs/24)+(Jeremy!D26=$F26)*ISNUMBER(Jeremy!E26)*(ABS(Jeremy!E26-$G26)&lt;VisitHrs/24)+(Jeremy!F26=$F26)*ISNUMBER(Jeremy!G26)*(ABS(Jeremy!G26-$G26)&lt;VisitHrs/24)+('Test Patient'!B26=$F26)*ISNUMBER('Test Patient'!C26)*(ABS('Test Patient'!C26-$G26)&lt;VisitHrs/24)+('Test Patient'!D26=$F26)*ISNUMBER('Test Patient'!E26)*(ABS('Test Patient'!E26-$G26)&lt;VisitHrs/24)+('Test Patient'!F26=$F26)*ISNUMBER('Test Patient'!G26)*(ABS('Test Patient'!G26-$G26)&lt;VisitHrs/24))-1)+('Anita Klesch'!$B26=$F26)*($G26&lt;DayEnd)*($G26+VisitHrs/24&gt;DayStart)+('Anita Klesch'!$C26=$F26)*((($G26+VisitHrs/24&gt;DayEnd)+($G26&lt;DayStart))&gt;0)+('Test Patient 2'!$B26=$F26)*($G26&lt;DayEnd)*($G26+VisitHrs/24&gt;DayStart)+('Test Patient 2'!$C26=$F26)*((($G26+VisitHrs/24&gt;DayEnd)+($G26&lt;DayStart))&gt;0)&gt;=1,1,0),0)</f>
        <v>0</v>
      </c>
      <c r="M26" s="12">
        <f t="shared" si="2"/>
        <v>0</v>
      </c>
      <c r="N26" s="12">
        <f t="shared" si="3"/>
        <v>0</v>
      </c>
      <c r="O26" s="12">
        <f t="shared" si="4"/>
        <v>0</v>
      </c>
    </row>
    <row r="27" spans="1:15" x14ac:dyDescent="0.2">
      <c r="A27" s="2">
        <f t="shared" si="5"/>
        <v>46233</v>
      </c>
      <c r="B27" s="3"/>
      <c r="C27" s="24"/>
      <c r="D27" s="19"/>
      <c r="E27" s="25"/>
      <c r="F27" s="19"/>
      <c r="G27" s="25"/>
      <c r="H27" s="12">
        <f t="shared" si="0"/>
        <v>1</v>
      </c>
      <c r="I27" s="12">
        <f t="shared" si="1"/>
        <v>0</v>
      </c>
      <c r="J27" s="12">
        <f>IF(AND($H27=1,$B27&lt;&gt;"",ISNUMBER($C27)),IF(((('Lucy Levene'!B27=$B27)*ISNUMBER('Lucy Levene'!C27)*(ABS('Lucy Levene'!C27-$C27)&lt;VisitHrs/24)+('Lucy Levene'!D27=$B27)*ISNUMBER('Lucy Levene'!E27)*(ABS('Lucy Levene'!E27-$C27)&lt;VisitHrs/24)+('Lucy Levene'!F27=$B27)*ISNUMBER('Lucy Levene'!G27)*(ABS('Lucy Levene'!G27-$C27)&lt;VisitHrs/24)+('Tom Bock'!B27=$B27)*ISNUMBER('Tom Bock'!C27)*(ABS('Tom Bock'!C27-$C27)&lt;VisitHrs/24)+('Tom Bock'!D27=$B27)*ISNUMBER('Tom Bock'!E27)*(ABS('Tom Bock'!E27-$C27)&lt;VisitHrs/24)+('Tom Bock'!F27=$B27)*ISNUMBER('Tom Bock'!G27)*(ABS('Tom Bock'!G27-$C27)&lt;VisitHrs/24)+(Jeremy!B27=$B27)*ISNUMBER(Jeremy!C27)*(ABS(Jeremy!C27-$C27)&lt;VisitHrs/24)+(Jeremy!D27=$B27)*ISNUMBER(Jeremy!E27)*(ABS(Jeremy!E27-$C27)&lt;VisitHrs/24)+(Jeremy!F27=$B27)*ISNUMBER(Jeremy!G27)*(ABS(Jeremy!G27-$C27)&lt;VisitHrs/24)+('Test Patient'!B27=$B27)*ISNUMBER('Test Patient'!C27)*(ABS('Test Patient'!C27-$C27)&lt;VisitHrs/24)+('Test Patient'!D27=$B27)*ISNUMBER('Test Patient'!E27)*(ABS('Test Patient'!E27-$C27)&lt;VisitHrs/24)+('Test Patient'!F27=$B27)*ISNUMBER('Test Patient'!G27)*(ABS('Test Patient'!G27-$C27)&lt;VisitHrs/24))-1)+('Anita Klesch'!$B27=$B27)*($C27&lt;DayEnd)*($C27+VisitHrs/24&gt;DayStart)+('Anita Klesch'!$C27=$B27)*((($C27+VisitHrs/24&gt;DayEnd)+($C27&lt;DayStart))&gt;0)+('Test Patient 2'!$B27=$B27)*($C27&lt;DayEnd)*($C27+VisitHrs/24&gt;DayStart)+('Test Patient 2'!$C27=$B27)*((($C27+VisitHrs/24&gt;DayEnd)+($C27&lt;DayStart))&gt;0)&gt;=1,1,0),0)</f>
        <v>0</v>
      </c>
      <c r="K27" s="12">
        <f>IF(AND($H27=1,$D27&lt;&gt;"",ISNUMBER($E27)),IF(((('Lucy Levene'!B27=$D27)*ISNUMBER('Lucy Levene'!C27)*(ABS('Lucy Levene'!C27-$E27)&lt;VisitHrs/24)+('Lucy Levene'!D27=$D27)*ISNUMBER('Lucy Levene'!E27)*(ABS('Lucy Levene'!E27-$E27)&lt;VisitHrs/24)+('Lucy Levene'!F27=$D27)*ISNUMBER('Lucy Levene'!G27)*(ABS('Lucy Levene'!G27-$E27)&lt;VisitHrs/24)+('Tom Bock'!B27=$D27)*ISNUMBER('Tom Bock'!C27)*(ABS('Tom Bock'!C27-$E27)&lt;VisitHrs/24)+('Tom Bock'!D27=$D27)*ISNUMBER('Tom Bock'!E27)*(ABS('Tom Bock'!E27-$E27)&lt;VisitHrs/24)+('Tom Bock'!F27=$D27)*ISNUMBER('Tom Bock'!G27)*(ABS('Tom Bock'!G27-$E27)&lt;VisitHrs/24)+(Jeremy!B27=$D27)*ISNUMBER(Jeremy!C27)*(ABS(Jeremy!C27-$E27)&lt;VisitHrs/24)+(Jeremy!D27=$D27)*ISNUMBER(Jeremy!E27)*(ABS(Jeremy!E27-$E27)&lt;VisitHrs/24)+(Jeremy!F27=$D27)*ISNUMBER(Jeremy!G27)*(ABS(Jeremy!G27-$E27)&lt;VisitHrs/24)+('Test Patient'!B27=$D27)*ISNUMBER('Test Patient'!C27)*(ABS('Test Patient'!C27-$E27)&lt;VisitHrs/24)+('Test Patient'!D27=$D27)*ISNUMBER('Test Patient'!E27)*(ABS('Test Patient'!E27-$E27)&lt;VisitHrs/24)+('Test Patient'!F27=$D27)*ISNUMBER('Test Patient'!G27)*(ABS('Test Patient'!G27-$E27)&lt;VisitHrs/24))-1)+('Anita Klesch'!$B27=$D27)*($E27&lt;DayEnd)*($E27+VisitHrs/24&gt;DayStart)+('Anita Klesch'!$C27=$D27)*((($E27+VisitHrs/24&gt;DayEnd)+($E27&lt;DayStart))&gt;0)+('Test Patient 2'!$B27=$D27)*($E27&lt;DayEnd)*($E27+VisitHrs/24&gt;DayStart)+('Test Patient 2'!$C27=$D27)*((($E27+VisitHrs/24&gt;DayEnd)+($E27&lt;DayStart))&gt;0)&gt;=1,1,0),0)</f>
        <v>0</v>
      </c>
      <c r="L27" s="12">
        <f>IF(AND($H27=1,$F27&lt;&gt;"",ISNUMBER($G27)),IF(((('Lucy Levene'!B27=$F27)*ISNUMBER('Lucy Levene'!C27)*(ABS('Lucy Levene'!C27-$G27)&lt;VisitHrs/24)+('Lucy Levene'!D27=$F27)*ISNUMBER('Lucy Levene'!E27)*(ABS('Lucy Levene'!E27-$G27)&lt;VisitHrs/24)+('Lucy Levene'!F27=$F27)*ISNUMBER('Lucy Levene'!G27)*(ABS('Lucy Levene'!G27-$G27)&lt;VisitHrs/24)+('Tom Bock'!B27=$F27)*ISNUMBER('Tom Bock'!C27)*(ABS('Tom Bock'!C27-$G27)&lt;VisitHrs/24)+('Tom Bock'!D27=$F27)*ISNUMBER('Tom Bock'!E27)*(ABS('Tom Bock'!E27-$G27)&lt;VisitHrs/24)+('Tom Bock'!F27=$F27)*ISNUMBER('Tom Bock'!G27)*(ABS('Tom Bock'!G27-$G27)&lt;VisitHrs/24)+(Jeremy!B27=$F27)*ISNUMBER(Jeremy!C27)*(ABS(Jeremy!C27-$G27)&lt;VisitHrs/24)+(Jeremy!D27=$F27)*ISNUMBER(Jeremy!E27)*(ABS(Jeremy!E27-$G27)&lt;VisitHrs/24)+(Jeremy!F27=$F27)*ISNUMBER(Jeremy!G27)*(ABS(Jeremy!G27-$G27)&lt;VisitHrs/24)+('Test Patient'!B27=$F27)*ISNUMBER('Test Patient'!C27)*(ABS('Test Patient'!C27-$G27)&lt;VisitHrs/24)+('Test Patient'!D27=$F27)*ISNUMBER('Test Patient'!E27)*(ABS('Test Patient'!E27-$G27)&lt;VisitHrs/24)+('Test Patient'!F27=$F27)*ISNUMBER('Test Patient'!G27)*(ABS('Test Patient'!G27-$G27)&lt;VisitHrs/24))-1)+('Anita Klesch'!$B27=$F27)*($G27&lt;DayEnd)*($G27+VisitHrs/24&gt;DayStart)+('Anita Klesch'!$C27=$F27)*((($G27+VisitHrs/24&gt;DayEnd)+($G27&lt;DayStart))&gt;0)+('Test Patient 2'!$B27=$F27)*($G27&lt;DayEnd)*($G27+VisitHrs/24&gt;DayStart)+('Test Patient 2'!$C27=$F27)*((($G27+VisitHrs/24&gt;DayEnd)+($G27&lt;DayStart))&gt;0)&gt;=1,1,0),0)</f>
        <v>0</v>
      </c>
      <c r="M27" s="12">
        <f t="shared" si="2"/>
        <v>0</v>
      </c>
      <c r="N27" s="12">
        <f t="shared" si="3"/>
        <v>0</v>
      </c>
      <c r="O27" s="12">
        <f t="shared" si="4"/>
        <v>0</v>
      </c>
    </row>
    <row r="28" spans="1:15" x14ac:dyDescent="0.2">
      <c r="A28" s="2">
        <f t="shared" si="5"/>
        <v>46234</v>
      </c>
      <c r="B28" s="3"/>
      <c r="C28" s="24"/>
      <c r="D28" s="19"/>
      <c r="E28" s="25"/>
      <c r="F28" s="19"/>
      <c r="G28" s="25"/>
      <c r="H28" s="12">
        <f t="shared" si="0"/>
        <v>1</v>
      </c>
      <c r="I28" s="12">
        <f t="shared" si="1"/>
        <v>0</v>
      </c>
      <c r="J28" s="12">
        <f>IF(AND($H28=1,$B28&lt;&gt;"",ISNUMBER($C28)),IF(((('Lucy Levene'!B28=$B28)*ISNUMBER('Lucy Levene'!C28)*(ABS('Lucy Levene'!C28-$C28)&lt;VisitHrs/24)+('Lucy Levene'!D28=$B28)*ISNUMBER('Lucy Levene'!E28)*(ABS('Lucy Levene'!E28-$C28)&lt;VisitHrs/24)+('Lucy Levene'!F28=$B28)*ISNUMBER('Lucy Levene'!G28)*(ABS('Lucy Levene'!G28-$C28)&lt;VisitHrs/24)+('Tom Bock'!B28=$B28)*ISNUMBER('Tom Bock'!C28)*(ABS('Tom Bock'!C28-$C28)&lt;VisitHrs/24)+('Tom Bock'!D28=$B28)*ISNUMBER('Tom Bock'!E28)*(ABS('Tom Bock'!E28-$C28)&lt;VisitHrs/24)+('Tom Bock'!F28=$B28)*ISNUMBER('Tom Bock'!G28)*(ABS('Tom Bock'!G28-$C28)&lt;VisitHrs/24)+(Jeremy!B28=$B28)*ISNUMBER(Jeremy!C28)*(ABS(Jeremy!C28-$C28)&lt;VisitHrs/24)+(Jeremy!D28=$B28)*ISNUMBER(Jeremy!E28)*(ABS(Jeremy!E28-$C28)&lt;VisitHrs/24)+(Jeremy!F28=$B28)*ISNUMBER(Jeremy!G28)*(ABS(Jeremy!G28-$C28)&lt;VisitHrs/24)+('Test Patient'!B28=$B28)*ISNUMBER('Test Patient'!C28)*(ABS('Test Patient'!C28-$C28)&lt;VisitHrs/24)+('Test Patient'!D28=$B28)*ISNUMBER('Test Patient'!E28)*(ABS('Test Patient'!E28-$C28)&lt;VisitHrs/24)+('Test Patient'!F28=$B28)*ISNUMBER('Test Patient'!G28)*(ABS('Test Patient'!G28-$C28)&lt;VisitHrs/24))-1)+('Anita Klesch'!$B28=$B28)*($C28&lt;DayEnd)*($C28+VisitHrs/24&gt;DayStart)+('Anita Klesch'!$C28=$B28)*((($C28+VisitHrs/24&gt;DayEnd)+($C28&lt;DayStart))&gt;0)+('Test Patient 2'!$B28=$B28)*($C28&lt;DayEnd)*($C28+VisitHrs/24&gt;DayStart)+('Test Patient 2'!$C28=$B28)*((($C28+VisitHrs/24&gt;DayEnd)+($C28&lt;DayStart))&gt;0)&gt;=1,1,0),0)</f>
        <v>0</v>
      </c>
      <c r="K28" s="12">
        <f>IF(AND($H28=1,$D28&lt;&gt;"",ISNUMBER($E28)),IF(((('Lucy Levene'!B28=$D28)*ISNUMBER('Lucy Levene'!C28)*(ABS('Lucy Levene'!C28-$E28)&lt;VisitHrs/24)+('Lucy Levene'!D28=$D28)*ISNUMBER('Lucy Levene'!E28)*(ABS('Lucy Levene'!E28-$E28)&lt;VisitHrs/24)+('Lucy Levene'!F28=$D28)*ISNUMBER('Lucy Levene'!G28)*(ABS('Lucy Levene'!G28-$E28)&lt;VisitHrs/24)+('Tom Bock'!B28=$D28)*ISNUMBER('Tom Bock'!C28)*(ABS('Tom Bock'!C28-$E28)&lt;VisitHrs/24)+('Tom Bock'!D28=$D28)*ISNUMBER('Tom Bock'!E28)*(ABS('Tom Bock'!E28-$E28)&lt;VisitHrs/24)+('Tom Bock'!F28=$D28)*ISNUMBER('Tom Bock'!G28)*(ABS('Tom Bock'!G28-$E28)&lt;VisitHrs/24)+(Jeremy!B28=$D28)*ISNUMBER(Jeremy!C28)*(ABS(Jeremy!C28-$E28)&lt;VisitHrs/24)+(Jeremy!D28=$D28)*ISNUMBER(Jeremy!E28)*(ABS(Jeremy!E28-$E28)&lt;VisitHrs/24)+(Jeremy!F28=$D28)*ISNUMBER(Jeremy!G28)*(ABS(Jeremy!G28-$E28)&lt;VisitHrs/24)+('Test Patient'!B28=$D28)*ISNUMBER('Test Patient'!C28)*(ABS('Test Patient'!C28-$E28)&lt;VisitHrs/24)+('Test Patient'!D28=$D28)*ISNUMBER('Test Patient'!E28)*(ABS('Test Patient'!E28-$E28)&lt;VisitHrs/24)+('Test Patient'!F28=$D28)*ISNUMBER('Test Patient'!G28)*(ABS('Test Patient'!G28-$E28)&lt;VisitHrs/24))-1)+('Anita Klesch'!$B28=$D28)*($E28&lt;DayEnd)*($E28+VisitHrs/24&gt;DayStart)+('Anita Klesch'!$C28=$D28)*((($E28+VisitHrs/24&gt;DayEnd)+($E28&lt;DayStart))&gt;0)+('Test Patient 2'!$B28=$D28)*($E28&lt;DayEnd)*($E28+VisitHrs/24&gt;DayStart)+('Test Patient 2'!$C28=$D28)*((($E28+VisitHrs/24&gt;DayEnd)+($E28&lt;DayStart))&gt;0)&gt;=1,1,0),0)</f>
        <v>0</v>
      </c>
      <c r="L28" s="12">
        <f>IF(AND($H28=1,$F28&lt;&gt;"",ISNUMBER($G28)),IF(((('Lucy Levene'!B28=$F28)*ISNUMBER('Lucy Levene'!C28)*(ABS('Lucy Levene'!C28-$G28)&lt;VisitHrs/24)+('Lucy Levene'!D28=$F28)*ISNUMBER('Lucy Levene'!E28)*(ABS('Lucy Levene'!E28-$G28)&lt;VisitHrs/24)+('Lucy Levene'!F28=$F28)*ISNUMBER('Lucy Levene'!G28)*(ABS('Lucy Levene'!G28-$G28)&lt;VisitHrs/24)+('Tom Bock'!B28=$F28)*ISNUMBER('Tom Bock'!C28)*(ABS('Tom Bock'!C28-$G28)&lt;VisitHrs/24)+('Tom Bock'!D28=$F28)*ISNUMBER('Tom Bock'!E28)*(ABS('Tom Bock'!E28-$G28)&lt;VisitHrs/24)+('Tom Bock'!F28=$F28)*ISNUMBER('Tom Bock'!G28)*(ABS('Tom Bock'!G28-$G28)&lt;VisitHrs/24)+(Jeremy!B28=$F28)*ISNUMBER(Jeremy!C28)*(ABS(Jeremy!C28-$G28)&lt;VisitHrs/24)+(Jeremy!D28=$F28)*ISNUMBER(Jeremy!E28)*(ABS(Jeremy!E28-$G28)&lt;VisitHrs/24)+(Jeremy!F28=$F28)*ISNUMBER(Jeremy!G28)*(ABS(Jeremy!G28-$G28)&lt;VisitHrs/24)+('Test Patient'!B28=$F28)*ISNUMBER('Test Patient'!C28)*(ABS('Test Patient'!C28-$G28)&lt;VisitHrs/24)+('Test Patient'!D28=$F28)*ISNUMBER('Test Patient'!E28)*(ABS('Test Patient'!E28-$G28)&lt;VisitHrs/24)+('Test Patient'!F28=$F28)*ISNUMBER('Test Patient'!G28)*(ABS('Test Patient'!G28-$G28)&lt;VisitHrs/24))-1)+('Anita Klesch'!$B28=$F28)*($G28&lt;DayEnd)*($G28+VisitHrs/24&gt;DayStart)+('Anita Klesch'!$C28=$F28)*((($G28+VisitHrs/24&gt;DayEnd)+($G28&lt;DayStart))&gt;0)+('Test Patient 2'!$B28=$F28)*($G28&lt;DayEnd)*($G28+VisitHrs/24&gt;DayStart)+('Test Patient 2'!$C28=$F28)*((($G28+VisitHrs/24&gt;DayEnd)+($G28&lt;DayStart))&gt;0)&gt;=1,1,0),0)</f>
        <v>0</v>
      </c>
      <c r="M28" s="12">
        <f t="shared" si="2"/>
        <v>0</v>
      </c>
      <c r="N28" s="12">
        <f t="shared" si="3"/>
        <v>0</v>
      </c>
      <c r="O28" s="12">
        <f t="shared" si="4"/>
        <v>0</v>
      </c>
    </row>
    <row r="29" spans="1:15" x14ac:dyDescent="0.2">
      <c r="A29" s="2">
        <f t="shared" si="5"/>
        <v>46235</v>
      </c>
      <c r="B29" s="3"/>
      <c r="C29" s="24"/>
      <c r="D29" s="19"/>
      <c r="E29" s="25"/>
      <c r="F29" s="19"/>
      <c r="G29" s="25"/>
      <c r="H29" s="12">
        <f t="shared" si="0"/>
        <v>1</v>
      </c>
      <c r="I29" s="12">
        <f t="shared" si="1"/>
        <v>0</v>
      </c>
      <c r="J29" s="12">
        <f>IF(AND($H29=1,$B29&lt;&gt;"",ISNUMBER($C29)),IF(((('Lucy Levene'!B29=$B29)*ISNUMBER('Lucy Levene'!C29)*(ABS('Lucy Levene'!C29-$C29)&lt;VisitHrs/24)+('Lucy Levene'!D29=$B29)*ISNUMBER('Lucy Levene'!E29)*(ABS('Lucy Levene'!E29-$C29)&lt;VisitHrs/24)+('Lucy Levene'!F29=$B29)*ISNUMBER('Lucy Levene'!G29)*(ABS('Lucy Levene'!G29-$C29)&lt;VisitHrs/24)+('Tom Bock'!B29=$B29)*ISNUMBER('Tom Bock'!C29)*(ABS('Tom Bock'!C29-$C29)&lt;VisitHrs/24)+('Tom Bock'!D29=$B29)*ISNUMBER('Tom Bock'!E29)*(ABS('Tom Bock'!E29-$C29)&lt;VisitHrs/24)+('Tom Bock'!F29=$B29)*ISNUMBER('Tom Bock'!G29)*(ABS('Tom Bock'!G29-$C29)&lt;VisitHrs/24)+(Jeremy!B29=$B29)*ISNUMBER(Jeremy!C29)*(ABS(Jeremy!C29-$C29)&lt;VisitHrs/24)+(Jeremy!D29=$B29)*ISNUMBER(Jeremy!E29)*(ABS(Jeremy!E29-$C29)&lt;VisitHrs/24)+(Jeremy!F29=$B29)*ISNUMBER(Jeremy!G29)*(ABS(Jeremy!G29-$C29)&lt;VisitHrs/24)+('Test Patient'!B29=$B29)*ISNUMBER('Test Patient'!C29)*(ABS('Test Patient'!C29-$C29)&lt;VisitHrs/24)+('Test Patient'!D29=$B29)*ISNUMBER('Test Patient'!E29)*(ABS('Test Patient'!E29-$C29)&lt;VisitHrs/24)+('Test Patient'!F29=$B29)*ISNUMBER('Test Patient'!G29)*(ABS('Test Patient'!G29-$C29)&lt;VisitHrs/24))-1)+('Anita Klesch'!$B29=$B29)*($C29&lt;DayEnd)*($C29+VisitHrs/24&gt;DayStart)+('Anita Klesch'!$C29=$B29)*((($C29+VisitHrs/24&gt;DayEnd)+($C29&lt;DayStart))&gt;0)+('Test Patient 2'!$B29=$B29)*($C29&lt;DayEnd)*($C29+VisitHrs/24&gt;DayStart)+('Test Patient 2'!$C29=$B29)*((($C29+VisitHrs/24&gt;DayEnd)+($C29&lt;DayStart))&gt;0)&gt;=1,1,0),0)</f>
        <v>0</v>
      </c>
      <c r="K29" s="12">
        <f>IF(AND($H29=1,$D29&lt;&gt;"",ISNUMBER($E29)),IF(((('Lucy Levene'!B29=$D29)*ISNUMBER('Lucy Levene'!C29)*(ABS('Lucy Levene'!C29-$E29)&lt;VisitHrs/24)+('Lucy Levene'!D29=$D29)*ISNUMBER('Lucy Levene'!E29)*(ABS('Lucy Levene'!E29-$E29)&lt;VisitHrs/24)+('Lucy Levene'!F29=$D29)*ISNUMBER('Lucy Levene'!G29)*(ABS('Lucy Levene'!G29-$E29)&lt;VisitHrs/24)+('Tom Bock'!B29=$D29)*ISNUMBER('Tom Bock'!C29)*(ABS('Tom Bock'!C29-$E29)&lt;VisitHrs/24)+('Tom Bock'!D29=$D29)*ISNUMBER('Tom Bock'!E29)*(ABS('Tom Bock'!E29-$E29)&lt;VisitHrs/24)+('Tom Bock'!F29=$D29)*ISNUMBER('Tom Bock'!G29)*(ABS('Tom Bock'!G29-$E29)&lt;VisitHrs/24)+(Jeremy!B29=$D29)*ISNUMBER(Jeremy!C29)*(ABS(Jeremy!C29-$E29)&lt;VisitHrs/24)+(Jeremy!D29=$D29)*ISNUMBER(Jeremy!E29)*(ABS(Jeremy!E29-$E29)&lt;VisitHrs/24)+(Jeremy!F29=$D29)*ISNUMBER(Jeremy!G29)*(ABS(Jeremy!G29-$E29)&lt;VisitHrs/24)+('Test Patient'!B29=$D29)*ISNUMBER('Test Patient'!C29)*(ABS('Test Patient'!C29-$E29)&lt;VisitHrs/24)+('Test Patient'!D29=$D29)*ISNUMBER('Test Patient'!E29)*(ABS('Test Patient'!E29-$E29)&lt;VisitHrs/24)+('Test Patient'!F29=$D29)*ISNUMBER('Test Patient'!G29)*(ABS('Test Patient'!G29-$E29)&lt;VisitHrs/24))-1)+('Anita Klesch'!$B29=$D29)*($E29&lt;DayEnd)*($E29+VisitHrs/24&gt;DayStart)+('Anita Klesch'!$C29=$D29)*((($E29+VisitHrs/24&gt;DayEnd)+($E29&lt;DayStart))&gt;0)+('Test Patient 2'!$B29=$D29)*($E29&lt;DayEnd)*($E29+VisitHrs/24&gt;DayStart)+('Test Patient 2'!$C29=$D29)*((($E29+VisitHrs/24&gt;DayEnd)+($E29&lt;DayStart))&gt;0)&gt;=1,1,0),0)</f>
        <v>0</v>
      </c>
      <c r="L29" s="12">
        <f>IF(AND($H29=1,$F29&lt;&gt;"",ISNUMBER($G29)),IF(((('Lucy Levene'!B29=$F29)*ISNUMBER('Lucy Levene'!C29)*(ABS('Lucy Levene'!C29-$G29)&lt;VisitHrs/24)+('Lucy Levene'!D29=$F29)*ISNUMBER('Lucy Levene'!E29)*(ABS('Lucy Levene'!E29-$G29)&lt;VisitHrs/24)+('Lucy Levene'!F29=$F29)*ISNUMBER('Lucy Levene'!G29)*(ABS('Lucy Levene'!G29-$G29)&lt;VisitHrs/24)+('Tom Bock'!B29=$F29)*ISNUMBER('Tom Bock'!C29)*(ABS('Tom Bock'!C29-$G29)&lt;VisitHrs/24)+('Tom Bock'!D29=$F29)*ISNUMBER('Tom Bock'!E29)*(ABS('Tom Bock'!E29-$G29)&lt;VisitHrs/24)+('Tom Bock'!F29=$F29)*ISNUMBER('Tom Bock'!G29)*(ABS('Tom Bock'!G29-$G29)&lt;VisitHrs/24)+(Jeremy!B29=$F29)*ISNUMBER(Jeremy!C29)*(ABS(Jeremy!C29-$G29)&lt;VisitHrs/24)+(Jeremy!D29=$F29)*ISNUMBER(Jeremy!E29)*(ABS(Jeremy!E29-$G29)&lt;VisitHrs/24)+(Jeremy!F29=$F29)*ISNUMBER(Jeremy!G29)*(ABS(Jeremy!G29-$G29)&lt;VisitHrs/24)+('Test Patient'!B29=$F29)*ISNUMBER('Test Patient'!C29)*(ABS('Test Patient'!C29-$G29)&lt;VisitHrs/24)+('Test Patient'!D29=$F29)*ISNUMBER('Test Patient'!E29)*(ABS('Test Patient'!E29-$G29)&lt;VisitHrs/24)+('Test Patient'!F29=$F29)*ISNUMBER('Test Patient'!G29)*(ABS('Test Patient'!G29-$G29)&lt;VisitHrs/24))-1)+('Anita Klesch'!$B29=$F29)*($G29&lt;DayEnd)*($G29+VisitHrs/24&gt;DayStart)+('Anita Klesch'!$C29=$F29)*((($G29+VisitHrs/24&gt;DayEnd)+($G29&lt;DayStart))&gt;0)+('Test Patient 2'!$B29=$F29)*($G29&lt;DayEnd)*($G29+VisitHrs/24&gt;DayStart)+('Test Patient 2'!$C29=$F29)*((($G29+VisitHrs/24&gt;DayEnd)+($G29&lt;DayStart))&gt;0)&gt;=1,1,0),0)</f>
        <v>0</v>
      </c>
      <c r="M29" s="12">
        <f t="shared" si="2"/>
        <v>0</v>
      </c>
      <c r="N29" s="12">
        <f t="shared" si="3"/>
        <v>0</v>
      </c>
      <c r="O29" s="12">
        <f t="shared" si="4"/>
        <v>0</v>
      </c>
    </row>
    <row r="30" spans="1:15" x14ac:dyDescent="0.2">
      <c r="A30" s="2">
        <f t="shared" si="5"/>
        <v>46236</v>
      </c>
      <c r="B30" s="3"/>
      <c r="C30" s="24"/>
      <c r="D30" s="19"/>
      <c r="E30" s="25"/>
      <c r="F30" s="19"/>
      <c r="G30" s="25"/>
      <c r="H30" s="12">
        <f t="shared" si="0"/>
        <v>1</v>
      </c>
      <c r="I30" s="12">
        <f t="shared" si="1"/>
        <v>0</v>
      </c>
      <c r="J30" s="12">
        <f>IF(AND($H30=1,$B30&lt;&gt;"",ISNUMBER($C30)),IF(((('Lucy Levene'!B30=$B30)*ISNUMBER('Lucy Levene'!C30)*(ABS('Lucy Levene'!C30-$C30)&lt;VisitHrs/24)+('Lucy Levene'!D30=$B30)*ISNUMBER('Lucy Levene'!E30)*(ABS('Lucy Levene'!E30-$C30)&lt;VisitHrs/24)+('Lucy Levene'!F30=$B30)*ISNUMBER('Lucy Levene'!G30)*(ABS('Lucy Levene'!G30-$C30)&lt;VisitHrs/24)+('Tom Bock'!B30=$B30)*ISNUMBER('Tom Bock'!C30)*(ABS('Tom Bock'!C30-$C30)&lt;VisitHrs/24)+('Tom Bock'!D30=$B30)*ISNUMBER('Tom Bock'!E30)*(ABS('Tom Bock'!E30-$C30)&lt;VisitHrs/24)+('Tom Bock'!F30=$B30)*ISNUMBER('Tom Bock'!G30)*(ABS('Tom Bock'!G30-$C30)&lt;VisitHrs/24)+(Jeremy!B30=$B30)*ISNUMBER(Jeremy!C30)*(ABS(Jeremy!C30-$C30)&lt;VisitHrs/24)+(Jeremy!D30=$B30)*ISNUMBER(Jeremy!E30)*(ABS(Jeremy!E30-$C30)&lt;VisitHrs/24)+(Jeremy!F30=$B30)*ISNUMBER(Jeremy!G30)*(ABS(Jeremy!G30-$C30)&lt;VisitHrs/24)+('Test Patient'!B30=$B30)*ISNUMBER('Test Patient'!C30)*(ABS('Test Patient'!C30-$C30)&lt;VisitHrs/24)+('Test Patient'!D30=$B30)*ISNUMBER('Test Patient'!E30)*(ABS('Test Patient'!E30-$C30)&lt;VisitHrs/24)+('Test Patient'!F30=$B30)*ISNUMBER('Test Patient'!G30)*(ABS('Test Patient'!G30-$C30)&lt;VisitHrs/24))-1)+('Anita Klesch'!$B30=$B30)*($C30&lt;DayEnd)*($C30+VisitHrs/24&gt;DayStart)+('Anita Klesch'!$C30=$B30)*((($C30+VisitHrs/24&gt;DayEnd)+($C30&lt;DayStart))&gt;0)+('Test Patient 2'!$B30=$B30)*($C30&lt;DayEnd)*($C30+VisitHrs/24&gt;DayStart)+('Test Patient 2'!$C30=$B30)*((($C30+VisitHrs/24&gt;DayEnd)+($C30&lt;DayStart))&gt;0)&gt;=1,1,0),0)</f>
        <v>0</v>
      </c>
      <c r="K30" s="12">
        <f>IF(AND($H30=1,$D30&lt;&gt;"",ISNUMBER($E30)),IF(((('Lucy Levene'!B30=$D30)*ISNUMBER('Lucy Levene'!C30)*(ABS('Lucy Levene'!C30-$E30)&lt;VisitHrs/24)+('Lucy Levene'!D30=$D30)*ISNUMBER('Lucy Levene'!E30)*(ABS('Lucy Levene'!E30-$E30)&lt;VisitHrs/24)+('Lucy Levene'!F30=$D30)*ISNUMBER('Lucy Levene'!G30)*(ABS('Lucy Levene'!G30-$E30)&lt;VisitHrs/24)+('Tom Bock'!B30=$D30)*ISNUMBER('Tom Bock'!C30)*(ABS('Tom Bock'!C30-$E30)&lt;VisitHrs/24)+('Tom Bock'!D30=$D30)*ISNUMBER('Tom Bock'!E30)*(ABS('Tom Bock'!E30-$E30)&lt;VisitHrs/24)+('Tom Bock'!F30=$D30)*ISNUMBER('Tom Bock'!G30)*(ABS('Tom Bock'!G30-$E30)&lt;VisitHrs/24)+(Jeremy!B30=$D30)*ISNUMBER(Jeremy!C30)*(ABS(Jeremy!C30-$E30)&lt;VisitHrs/24)+(Jeremy!D30=$D30)*ISNUMBER(Jeremy!E30)*(ABS(Jeremy!E30-$E30)&lt;VisitHrs/24)+(Jeremy!F30=$D30)*ISNUMBER(Jeremy!G30)*(ABS(Jeremy!G30-$E30)&lt;VisitHrs/24)+('Test Patient'!B30=$D30)*ISNUMBER('Test Patient'!C30)*(ABS('Test Patient'!C30-$E30)&lt;VisitHrs/24)+('Test Patient'!D30=$D30)*ISNUMBER('Test Patient'!E30)*(ABS('Test Patient'!E30-$E30)&lt;VisitHrs/24)+('Test Patient'!F30=$D30)*ISNUMBER('Test Patient'!G30)*(ABS('Test Patient'!G30-$E30)&lt;VisitHrs/24))-1)+('Anita Klesch'!$B30=$D30)*($E30&lt;DayEnd)*($E30+VisitHrs/24&gt;DayStart)+('Anita Klesch'!$C30=$D30)*((($E30+VisitHrs/24&gt;DayEnd)+($E30&lt;DayStart))&gt;0)+('Test Patient 2'!$B30=$D30)*($E30&lt;DayEnd)*($E30+VisitHrs/24&gt;DayStart)+('Test Patient 2'!$C30=$D30)*((($E30+VisitHrs/24&gt;DayEnd)+($E30&lt;DayStart))&gt;0)&gt;=1,1,0),0)</f>
        <v>0</v>
      </c>
      <c r="L30" s="12">
        <f>IF(AND($H30=1,$F30&lt;&gt;"",ISNUMBER($G30)),IF(((('Lucy Levene'!B30=$F30)*ISNUMBER('Lucy Levene'!C30)*(ABS('Lucy Levene'!C30-$G30)&lt;VisitHrs/24)+('Lucy Levene'!D30=$F30)*ISNUMBER('Lucy Levene'!E30)*(ABS('Lucy Levene'!E30-$G30)&lt;VisitHrs/24)+('Lucy Levene'!F30=$F30)*ISNUMBER('Lucy Levene'!G30)*(ABS('Lucy Levene'!G30-$G30)&lt;VisitHrs/24)+('Tom Bock'!B30=$F30)*ISNUMBER('Tom Bock'!C30)*(ABS('Tom Bock'!C30-$G30)&lt;VisitHrs/24)+('Tom Bock'!D30=$F30)*ISNUMBER('Tom Bock'!E30)*(ABS('Tom Bock'!E30-$G30)&lt;VisitHrs/24)+('Tom Bock'!F30=$F30)*ISNUMBER('Tom Bock'!G30)*(ABS('Tom Bock'!G30-$G30)&lt;VisitHrs/24)+(Jeremy!B30=$F30)*ISNUMBER(Jeremy!C30)*(ABS(Jeremy!C30-$G30)&lt;VisitHrs/24)+(Jeremy!D30=$F30)*ISNUMBER(Jeremy!E30)*(ABS(Jeremy!E30-$G30)&lt;VisitHrs/24)+(Jeremy!F30=$F30)*ISNUMBER(Jeremy!G30)*(ABS(Jeremy!G30-$G30)&lt;VisitHrs/24)+('Test Patient'!B30=$F30)*ISNUMBER('Test Patient'!C30)*(ABS('Test Patient'!C30-$G30)&lt;VisitHrs/24)+('Test Patient'!D30=$F30)*ISNUMBER('Test Patient'!E30)*(ABS('Test Patient'!E30-$G30)&lt;VisitHrs/24)+('Test Patient'!F30=$F30)*ISNUMBER('Test Patient'!G30)*(ABS('Test Patient'!G30-$G30)&lt;VisitHrs/24))-1)+('Anita Klesch'!$B30=$F30)*($G30&lt;DayEnd)*($G30+VisitHrs/24&gt;DayStart)+('Anita Klesch'!$C30=$F30)*((($G30+VisitHrs/24&gt;DayEnd)+($G30&lt;DayStart))&gt;0)+('Test Patient 2'!$B30=$F30)*($G30&lt;DayEnd)*($G30+VisitHrs/24&gt;DayStart)+('Test Patient 2'!$C30=$F30)*((($G30+VisitHrs/24&gt;DayEnd)+($G30&lt;DayStart))&gt;0)&gt;=1,1,0),0)</f>
        <v>0</v>
      </c>
      <c r="M30" s="12">
        <f t="shared" si="2"/>
        <v>0</v>
      </c>
      <c r="N30" s="12">
        <f t="shared" si="3"/>
        <v>0</v>
      </c>
      <c r="O30" s="12">
        <f t="shared" si="4"/>
        <v>0</v>
      </c>
    </row>
    <row r="31" spans="1:15" x14ac:dyDescent="0.2">
      <c r="A31" s="2">
        <f t="shared" si="5"/>
        <v>46237</v>
      </c>
      <c r="B31" s="3"/>
      <c r="C31" s="24"/>
      <c r="D31" s="19"/>
      <c r="E31" s="25"/>
      <c r="F31" s="19"/>
      <c r="G31" s="25"/>
      <c r="H31" s="12">
        <f t="shared" si="0"/>
        <v>1</v>
      </c>
      <c r="I31" s="12">
        <f t="shared" si="1"/>
        <v>0</v>
      </c>
      <c r="J31" s="12">
        <f>IF(AND($H31=1,$B31&lt;&gt;"",ISNUMBER($C31)),IF(((('Lucy Levene'!B31=$B31)*ISNUMBER('Lucy Levene'!C31)*(ABS('Lucy Levene'!C31-$C31)&lt;VisitHrs/24)+('Lucy Levene'!D31=$B31)*ISNUMBER('Lucy Levene'!E31)*(ABS('Lucy Levene'!E31-$C31)&lt;VisitHrs/24)+('Lucy Levene'!F31=$B31)*ISNUMBER('Lucy Levene'!G31)*(ABS('Lucy Levene'!G31-$C31)&lt;VisitHrs/24)+('Tom Bock'!B31=$B31)*ISNUMBER('Tom Bock'!C31)*(ABS('Tom Bock'!C31-$C31)&lt;VisitHrs/24)+('Tom Bock'!D31=$B31)*ISNUMBER('Tom Bock'!E31)*(ABS('Tom Bock'!E31-$C31)&lt;VisitHrs/24)+('Tom Bock'!F31=$B31)*ISNUMBER('Tom Bock'!G31)*(ABS('Tom Bock'!G31-$C31)&lt;VisitHrs/24)+(Jeremy!B31=$B31)*ISNUMBER(Jeremy!C31)*(ABS(Jeremy!C31-$C31)&lt;VisitHrs/24)+(Jeremy!D31=$B31)*ISNUMBER(Jeremy!E31)*(ABS(Jeremy!E31-$C31)&lt;VisitHrs/24)+(Jeremy!F31=$B31)*ISNUMBER(Jeremy!G31)*(ABS(Jeremy!G31-$C31)&lt;VisitHrs/24)+('Test Patient'!B31=$B31)*ISNUMBER('Test Patient'!C31)*(ABS('Test Patient'!C31-$C31)&lt;VisitHrs/24)+('Test Patient'!D31=$B31)*ISNUMBER('Test Patient'!E31)*(ABS('Test Patient'!E31-$C31)&lt;VisitHrs/24)+('Test Patient'!F31=$B31)*ISNUMBER('Test Patient'!G31)*(ABS('Test Patient'!G31-$C31)&lt;VisitHrs/24))-1)+('Anita Klesch'!$B31=$B31)*($C31&lt;DayEnd)*($C31+VisitHrs/24&gt;DayStart)+('Anita Klesch'!$C31=$B31)*((($C31+VisitHrs/24&gt;DayEnd)+($C31&lt;DayStart))&gt;0)+('Test Patient 2'!$B31=$B31)*($C31&lt;DayEnd)*($C31+VisitHrs/24&gt;DayStart)+('Test Patient 2'!$C31=$B31)*((($C31+VisitHrs/24&gt;DayEnd)+($C31&lt;DayStart))&gt;0)&gt;=1,1,0),0)</f>
        <v>0</v>
      </c>
      <c r="K31" s="12">
        <f>IF(AND($H31=1,$D31&lt;&gt;"",ISNUMBER($E31)),IF(((('Lucy Levene'!B31=$D31)*ISNUMBER('Lucy Levene'!C31)*(ABS('Lucy Levene'!C31-$E31)&lt;VisitHrs/24)+('Lucy Levene'!D31=$D31)*ISNUMBER('Lucy Levene'!E31)*(ABS('Lucy Levene'!E31-$E31)&lt;VisitHrs/24)+('Lucy Levene'!F31=$D31)*ISNUMBER('Lucy Levene'!G31)*(ABS('Lucy Levene'!G31-$E31)&lt;VisitHrs/24)+('Tom Bock'!B31=$D31)*ISNUMBER('Tom Bock'!C31)*(ABS('Tom Bock'!C31-$E31)&lt;VisitHrs/24)+('Tom Bock'!D31=$D31)*ISNUMBER('Tom Bock'!E31)*(ABS('Tom Bock'!E31-$E31)&lt;VisitHrs/24)+('Tom Bock'!F31=$D31)*ISNUMBER('Tom Bock'!G31)*(ABS('Tom Bock'!G31-$E31)&lt;VisitHrs/24)+(Jeremy!B31=$D31)*ISNUMBER(Jeremy!C31)*(ABS(Jeremy!C31-$E31)&lt;VisitHrs/24)+(Jeremy!D31=$D31)*ISNUMBER(Jeremy!E31)*(ABS(Jeremy!E31-$E31)&lt;VisitHrs/24)+(Jeremy!F31=$D31)*ISNUMBER(Jeremy!G31)*(ABS(Jeremy!G31-$E31)&lt;VisitHrs/24)+('Test Patient'!B31=$D31)*ISNUMBER('Test Patient'!C31)*(ABS('Test Patient'!C31-$E31)&lt;VisitHrs/24)+('Test Patient'!D31=$D31)*ISNUMBER('Test Patient'!E31)*(ABS('Test Patient'!E31-$E31)&lt;VisitHrs/24)+('Test Patient'!F31=$D31)*ISNUMBER('Test Patient'!G31)*(ABS('Test Patient'!G31-$E31)&lt;VisitHrs/24))-1)+('Anita Klesch'!$B31=$D31)*($E31&lt;DayEnd)*($E31+VisitHrs/24&gt;DayStart)+('Anita Klesch'!$C31=$D31)*((($E31+VisitHrs/24&gt;DayEnd)+($E31&lt;DayStart))&gt;0)+('Test Patient 2'!$B31=$D31)*($E31&lt;DayEnd)*($E31+VisitHrs/24&gt;DayStart)+('Test Patient 2'!$C31=$D31)*((($E31+VisitHrs/24&gt;DayEnd)+($E31&lt;DayStart))&gt;0)&gt;=1,1,0),0)</f>
        <v>0</v>
      </c>
      <c r="L31" s="12">
        <f>IF(AND($H31=1,$F31&lt;&gt;"",ISNUMBER($G31)),IF(((('Lucy Levene'!B31=$F31)*ISNUMBER('Lucy Levene'!C31)*(ABS('Lucy Levene'!C31-$G31)&lt;VisitHrs/24)+('Lucy Levene'!D31=$F31)*ISNUMBER('Lucy Levene'!E31)*(ABS('Lucy Levene'!E31-$G31)&lt;VisitHrs/24)+('Lucy Levene'!F31=$F31)*ISNUMBER('Lucy Levene'!G31)*(ABS('Lucy Levene'!G31-$G31)&lt;VisitHrs/24)+('Tom Bock'!B31=$F31)*ISNUMBER('Tom Bock'!C31)*(ABS('Tom Bock'!C31-$G31)&lt;VisitHrs/24)+('Tom Bock'!D31=$F31)*ISNUMBER('Tom Bock'!E31)*(ABS('Tom Bock'!E31-$G31)&lt;VisitHrs/24)+('Tom Bock'!F31=$F31)*ISNUMBER('Tom Bock'!G31)*(ABS('Tom Bock'!G31-$G31)&lt;VisitHrs/24)+(Jeremy!B31=$F31)*ISNUMBER(Jeremy!C31)*(ABS(Jeremy!C31-$G31)&lt;VisitHrs/24)+(Jeremy!D31=$F31)*ISNUMBER(Jeremy!E31)*(ABS(Jeremy!E31-$G31)&lt;VisitHrs/24)+(Jeremy!F31=$F31)*ISNUMBER(Jeremy!G31)*(ABS(Jeremy!G31-$G31)&lt;VisitHrs/24)+('Test Patient'!B31=$F31)*ISNUMBER('Test Patient'!C31)*(ABS('Test Patient'!C31-$G31)&lt;VisitHrs/24)+('Test Patient'!D31=$F31)*ISNUMBER('Test Patient'!E31)*(ABS('Test Patient'!E31-$G31)&lt;VisitHrs/24)+('Test Patient'!F31=$F31)*ISNUMBER('Test Patient'!G31)*(ABS('Test Patient'!G31-$G31)&lt;VisitHrs/24))-1)+('Anita Klesch'!$B31=$F31)*($G31&lt;DayEnd)*($G31+VisitHrs/24&gt;DayStart)+('Anita Klesch'!$C31=$F31)*((($G31+VisitHrs/24&gt;DayEnd)+($G31&lt;DayStart))&gt;0)+('Test Patient 2'!$B31=$F31)*($G31&lt;DayEnd)*($G31+VisitHrs/24&gt;DayStart)+('Test Patient 2'!$C31=$F31)*((($G31+VisitHrs/24&gt;DayEnd)+($G31&lt;DayStart))&gt;0)&gt;=1,1,0),0)</f>
        <v>0</v>
      </c>
      <c r="M31" s="12">
        <f t="shared" si="2"/>
        <v>0</v>
      </c>
      <c r="N31" s="12">
        <f t="shared" si="3"/>
        <v>0</v>
      </c>
      <c r="O31" s="12">
        <f t="shared" si="4"/>
        <v>0</v>
      </c>
    </row>
    <row r="32" spans="1:15" x14ac:dyDescent="0.2">
      <c r="A32" s="2">
        <f t="shared" si="5"/>
        <v>46238</v>
      </c>
      <c r="B32" s="3"/>
      <c r="C32" s="24"/>
      <c r="D32" s="19"/>
      <c r="E32" s="25"/>
      <c r="F32" s="19"/>
      <c r="G32" s="25"/>
      <c r="H32" s="12">
        <f t="shared" si="0"/>
        <v>1</v>
      </c>
      <c r="I32" s="12">
        <f t="shared" si="1"/>
        <v>0</v>
      </c>
      <c r="J32" s="12">
        <f>IF(AND($H32=1,$B32&lt;&gt;"",ISNUMBER($C32)),IF(((('Lucy Levene'!B32=$B32)*ISNUMBER('Lucy Levene'!C32)*(ABS('Lucy Levene'!C32-$C32)&lt;VisitHrs/24)+('Lucy Levene'!D32=$B32)*ISNUMBER('Lucy Levene'!E32)*(ABS('Lucy Levene'!E32-$C32)&lt;VisitHrs/24)+('Lucy Levene'!F32=$B32)*ISNUMBER('Lucy Levene'!G32)*(ABS('Lucy Levene'!G32-$C32)&lt;VisitHrs/24)+('Tom Bock'!B32=$B32)*ISNUMBER('Tom Bock'!C32)*(ABS('Tom Bock'!C32-$C32)&lt;VisitHrs/24)+('Tom Bock'!D32=$B32)*ISNUMBER('Tom Bock'!E32)*(ABS('Tom Bock'!E32-$C32)&lt;VisitHrs/24)+('Tom Bock'!F32=$B32)*ISNUMBER('Tom Bock'!G32)*(ABS('Tom Bock'!G32-$C32)&lt;VisitHrs/24)+(Jeremy!B32=$B32)*ISNUMBER(Jeremy!C32)*(ABS(Jeremy!C32-$C32)&lt;VisitHrs/24)+(Jeremy!D32=$B32)*ISNUMBER(Jeremy!E32)*(ABS(Jeremy!E32-$C32)&lt;VisitHrs/24)+(Jeremy!F32=$B32)*ISNUMBER(Jeremy!G32)*(ABS(Jeremy!G32-$C32)&lt;VisitHrs/24)+('Test Patient'!B32=$B32)*ISNUMBER('Test Patient'!C32)*(ABS('Test Patient'!C32-$C32)&lt;VisitHrs/24)+('Test Patient'!D32=$B32)*ISNUMBER('Test Patient'!E32)*(ABS('Test Patient'!E32-$C32)&lt;VisitHrs/24)+('Test Patient'!F32=$B32)*ISNUMBER('Test Patient'!G32)*(ABS('Test Patient'!G32-$C32)&lt;VisitHrs/24))-1)+('Anita Klesch'!$B32=$B32)*($C32&lt;DayEnd)*($C32+VisitHrs/24&gt;DayStart)+('Anita Klesch'!$C32=$B32)*((($C32+VisitHrs/24&gt;DayEnd)+($C32&lt;DayStart))&gt;0)+('Test Patient 2'!$B32=$B32)*($C32&lt;DayEnd)*($C32+VisitHrs/24&gt;DayStart)+('Test Patient 2'!$C32=$B32)*((($C32+VisitHrs/24&gt;DayEnd)+($C32&lt;DayStart))&gt;0)&gt;=1,1,0),0)</f>
        <v>0</v>
      </c>
      <c r="K32" s="12">
        <f>IF(AND($H32=1,$D32&lt;&gt;"",ISNUMBER($E32)),IF(((('Lucy Levene'!B32=$D32)*ISNUMBER('Lucy Levene'!C32)*(ABS('Lucy Levene'!C32-$E32)&lt;VisitHrs/24)+('Lucy Levene'!D32=$D32)*ISNUMBER('Lucy Levene'!E32)*(ABS('Lucy Levene'!E32-$E32)&lt;VisitHrs/24)+('Lucy Levene'!F32=$D32)*ISNUMBER('Lucy Levene'!G32)*(ABS('Lucy Levene'!G32-$E32)&lt;VisitHrs/24)+('Tom Bock'!B32=$D32)*ISNUMBER('Tom Bock'!C32)*(ABS('Tom Bock'!C32-$E32)&lt;VisitHrs/24)+('Tom Bock'!D32=$D32)*ISNUMBER('Tom Bock'!E32)*(ABS('Tom Bock'!E32-$E32)&lt;VisitHrs/24)+('Tom Bock'!F32=$D32)*ISNUMBER('Tom Bock'!G32)*(ABS('Tom Bock'!G32-$E32)&lt;VisitHrs/24)+(Jeremy!B32=$D32)*ISNUMBER(Jeremy!C32)*(ABS(Jeremy!C32-$E32)&lt;VisitHrs/24)+(Jeremy!D32=$D32)*ISNUMBER(Jeremy!E32)*(ABS(Jeremy!E32-$E32)&lt;VisitHrs/24)+(Jeremy!F32=$D32)*ISNUMBER(Jeremy!G32)*(ABS(Jeremy!G32-$E32)&lt;VisitHrs/24)+('Test Patient'!B32=$D32)*ISNUMBER('Test Patient'!C32)*(ABS('Test Patient'!C32-$E32)&lt;VisitHrs/24)+('Test Patient'!D32=$D32)*ISNUMBER('Test Patient'!E32)*(ABS('Test Patient'!E32-$E32)&lt;VisitHrs/24)+('Test Patient'!F32=$D32)*ISNUMBER('Test Patient'!G32)*(ABS('Test Patient'!G32-$E32)&lt;VisitHrs/24))-1)+('Anita Klesch'!$B32=$D32)*($E32&lt;DayEnd)*($E32+VisitHrs/24&gt;DayStart)+('Anita Klesch'!$C32=$D32)*((($E32+VisitHrs/24&gt;DayEnd)+($E32&lt;DayStart))&gt;0)+('Test Patient 2'!$B32=$D32)*($E32&lt;DayEnd)*($E32+VisitHrs/24&gt;DayStart)+('Test Patient 2'!$C32=$D32)*((($E32+VisitHrs/24&gt;DayEnd)+($E32&lt;DayStart))&gt;0)&gt;=1,1,0),0)</f>
        <v>0</v>
      </c>
      <c r="L32" s="12">
        <f>IF(AND($H32=1,$F32&lt;&gt;"",ISNUMBER($G32)),IF(((('Lucy Levene'!B32=$F32)*ISNUMBER('Lucy Levene'!C32)*(ABS('Lucy Levene'!C32-$G32)&lt;VisitHrs/24)+('Lucy Levene'!D32=$F32)*ISNUMBER('Lucy Levene'!E32)*(ABS('Lucy Levene'!E32-$G32)&lt;VisitHrs/24)+('Lucy Levene'!F32=$F32)*ISNUMBER('Lucy Levene'!G32)*(ABS('Lucy Levene'!G32-$G32)&lt;VisitHrs/24)+('Tom Bock'!B32=$F32)*ISNUMBER('Tom Bock'!C32)*(ABS('Tom Bock'!C32-$G32)&lt;VisitHrs/24)+('Tom Bock'!D32=$F32)*ISNUMBER('Tom Bock'!E32)*(ABS('Tom Bock'!E32-$G32)&lt;VisitHrs/24)+('Tom Bock'!F32=$F32)*ISNUMBER('Tom Bock'!G32)*(ABS('Tom Bock'!G32-$G32)&lt;VisitHrs/24)+(Jeremy!B32=$F32)*ISNUMBER(Jeremy!C32)*(ABS(Jeremy!C32-$G32)&lt;VisitHrs/24)+(Jeremy!D32=$F32)*ISNUMBER(Jeremy!E32)*(ABS(Jeremy!E32-$G32)&lt;VisitHrs/24)+(Jeremy!F32=$F32)*ISNUMBER(Jeremy!G32)*(ABS(Jeremy!G32-$G32)&lt;VisitHrs/24)+('Test Patient'!B32=$F32)*ISNUMBER('Test Patient'!C32)*(ABS('Test Patient'!C32-$G32)&lt;VisitHrs/24)+('Test Patient'!D32=$F32)*ISNUMBER('Test Patient'!E32)*(ABS('Test Patient'!E32-$G32)&lt;VisitHrs/24)+('Test Patient'!F32=$F32)*ISNUMBER('Test Patient'!G32)*(ABS('Test Patient'!G32-$G32)&lt;VisitHrs/24))-1)+('Anita Klesch'!$B32=$F32)*($G32&lt;DayEnd)*($G32+VisitHrs/24&gt;DayStart)+('Anita Klesch'!$C32=$F32)*((($G32+VisitHrs/24&gt;DayEnd)+($G32&lt;DayStart))&gt;0)+('Test Patient 2'!$B32=$F32)*($G32&lt;DayEnd)*($G32+VisitHrs/24&gt;DayStart)+('Test Patient 2'!$C32=$F32)*((($G32+VisitHrs/24&gt;DayEnd)+($G32&lt;DayStart))&gt;0)&gt;=1,1,0),0)</f>
        <v>0</v>
      </c>
      <c r="M32" s="12">
        <f t="shared" si="2"/>
        <v>0</v>
      </c>
      <c r="N32" s="12">
        <f t="shared" si="3"/>
        <v>0</v>
      </c>
      <c r="O32" s="12">
        <f t="shared" si="4"/>
        <v>0</v>
      </c>
    </row>
    <row r="33" spans="1:15" x14ac:dyDescent="0.2">
      <c r="A33" s="2">
        <f t="shared" si="5"/>
        <v>46239</v>
      </c>
      <c r="B33" s="3"/>
      <c r="C33" s="24"/>
      <c r="D33" s="19"/>
      <c r="E33" s="25"/>
      <c r="F33" s="19"/>
      <c r="G33" s="25"/>
      <c r="H33" s="12">
        <f t="shared" si="0"/>
        <v>1</v>
      </c>
      <c r="I33" s="12">
        <f t="shared" si="1"/>
        <v>0</v>
      </c>
      <c r="J33" s="12">
        <f>IF(AND($H33=1,$B33&lt;&gt;"",ISNUMBER($C33)),IF(((('Lucy Levene'!B33=$B33)*ISNUMBER('Lucy Levene'!C33)*(ABS('Lucy Levene'!C33-$C33)&lt;VisitHrs/24)+('Lucy Levene'!D33=$B33)*ISNUMBER('Lucy Levene'!E33)*(ABS('Lucy Levene'!E33-$C33)&lt;VisitHrs/24)+('Lucy Levene'!F33=$B33)*ISNUMBER('Lucy Levene'!G33)*(ABS('Lucy Levene'!G33-$C33)&lt;VisitHrs/24)+('Tom Bock'!B33=$B33)*ISNUMBER('Tom Bock'!C33)*(ABS('Tom Bock'!C33-$C33)&lt;VisitHrs/24)+('Tom Bock'!D33=$B33)*ISNUMBER('Tom Bock'!E33)*(ABS('Tom Bock'!E33-$C33)&lt;VisitHrs/24)+('Tom Bock'!F33=$B33)*ISNUMBER('Tom Bock'!G33)*(ABS('Tom Bock'!G33-$C33)&lt;VisitHrs/24)+(Jeremy!B33=$B33)*ISNUMBER(Jeremy!C33)*(ABS(Jeremy!C33-$C33)&lt;VisitHrs/24)+(Jeremy!D33=$B33)*ISNUMBER(Jeremy!E33)*(ABS(Jeremy!E33-$C33)&lt;VisitHrs/24)+(Jeremy!F33=$B33)*ISNUMBER(Jeremy!G33)*(ABS(Jeremy!G33-$C33)&lt;VisitHrs/24)+('Test Patient'!B33=$B33)*ISNUMBER('Test Patient'!C33)*(ABS('Test Patient'!C33-$C33)&lt;VisitHrs/24)+('Test Patient'!D33=$B33)*ISNUMBER('Test Patient'!E33)*(ABS('Test Patient'!E33-$C33)&lt;VisitHrs/24)+('Test Patient'!F33=$B33)*ISNUMBER('Test Patient'!G33)*(ABS('Test Patient'!G33-$C33)&lt;VisitHrs/24))-1)+('Anita Klesch'!$B33=$B33)*($C33&lt;DayEnd)*($C33+VisitHrs/24&gt;DayStart)+('Anita Klesch'!$C33=$B33)*((($C33+VisitHrs/24&gt;DayEnd)+($C33&lt;DayStart))&gt;0)+('Test Patient 2'!$B33=$B33)*($C33&lt;DayEnd)*($C33+VisitHrs/24&gt;DayStart)+('Test Patient 2'!$C33=$B33)*((($C33+VisitHrs/24&gt;DayEnd)+($C33&lt;DayStart))&gt;0)&gt;=1,1,0),0)</f>
        <v>0</v>
      </c>
      <c r="K33" s="12">
        <f>IF(AND($H33=1,$D33&lt;&gt;"",ISNUMBER($E33)),IF(((('Lucy Levene'!B33=$D33)*ISNUMBER('Lucy Levene'!C33)*(ABS('Lucy Levene'!C33-$E33)&lt;VisitHrs/24)+('Lucy Levene'!D33=$D33)*ISNUMBER('Lucy Levene'!E33)*(ABS('Lucy Levene'!E33-$E33)&lt;VisitHrs/24)+('Lucy Levene'!F33=$D33)*ISNUMBER('Lucy Levene'!G33)*(ABS('Lucy Levene'!G33-$E33)&lt;VisitHrs/24)+('Tom Bock'!B33=$D33)*ISNUMBER('Tom Bock'!C33)*(ABS('Tom Bock'!C33-$E33)&lt;VisitHrs/24)+('Tom Bock'!D33=$D33)*ISNUMBER('Tom Bock'!E33)*(ABS('Tom Bock'!E33-$E33)&lt;VisitHrs/24)+('Tom Bock'!F33=$D33)*ISNUMBER('Tom Bock'!G33)*(ABS('Tom Bock'!G33-$E33)&lt;VisitHrs/24)+(Jeremy!B33=$D33)*ISNUMBER(Jeremy!C33)*(ABS(Jeremy!C33-$E33)&lt;VisitHrs/24)+(Jeremy!D33=$D33)*ISNUMBER(Jeremy!E33)*(ABS(Jeremy!E33-$E33)&lt;VisitHrs/24)+(Jeremy!F33=$D33)*ISNUMBER(Jeremy!G33)*(ABS(Jeremy!G33-$E33)&lt;VisitHrs/24)+('Test Patient'!B33=$D33)*ISNUMBER('Test Patient'!C33)*(ABS('Test Patient'!C33-$E33)&lt;VisitHrs/24)+('Test Patient'!D33=$D33)*ISNUMBER('Test Patient'!E33)*(ABS('Test Patient'!E33-$E33)&lt;VisitHrs/24)+('Test Patient'!F33=$D33)*ISNUMBER('Test Patient'!G33)*(ABS('Test Patient'!G33-$E33)&lt;VisitHrs/24))-1)+('Anita Klesch'!$B33=$D33)*($E33&lt;DayEnd)*($E33+VisitHrs/24&gt;DayStart)+('Anita Klesch'!$C33=$D33)*((($E33+VisitHrs/24&gt;DayEnd)+($E33&lt;DayStart))&gt;0)+('Test Patient 2'!$B33=$D33)*($E33&lt;DayEnd)*($E33+VisitHrs/24&gt;DayStart)+('Test Patient 2'!$C33=$D33)*((($E33+VisitHrs/24&gt;DayEnd)+($E33&lt;DayStart))&gt;0)&gt;=1,1,0),0)</f>
        <v>0</v>
      </c>
      <c r="L33" s="12">
        <f>IF(AND($H33=1,$F33&lt;&gt;"",ISNUMBER($G33)),IF(((('Lucy Levene'!B33=$F33)*ISNUMBER('Lucy Levene'!C33)*(ABS('Lucy Levene'!C33-$G33)&lt;VisitHrs/24)+('Lucy Levene'!D33=$F33)*ISNUMBER('Lucy Levene'!E33)*(ABS('Lucy Levene'!E33-$G33)&lt;VisitHrs/24)+('Lucy Levene'!F33=$F33)*ISNUMBER('Lucy Levene'!G33)*(ABS('Lucy Levene'!G33-$G33)&lt;VisitHrs/24)+('Tom Bock'!B33=$F33)*ISNUMBER('Tom Bock'!C33)*(ABS('Tom Bock'!C33-$G33)&lt;VisitHrs/24)+('Tom Bock'!D33=$F33)*ISNUMBER('Tom Bock'!E33)*(ABS('Tom Bock'!E33-$G33)&lt;VisitHrs/24)+('Tom Bock'!F33=$F33)*ISNUMBER('Tom Bock'!G33)*(ABS('Tom Bock'!G33-$G33)&lt;VisitHrs/24)+(Jeremy!B33=$F33)*ISNUMBER(Jeremy!C33)*(ABS(Jeremy!C33-$G33)&lt;VisitHrs/24)+(Jeremy!D33=$F33)*ISNUMBER(Jeremy!E33)*(ABS(Jeremy!E33-$G33)&lt;VisitHrs/24)+(Jeremy!F33=$F33)*ISNUMBER(Jeremy!G33)*(ABS(Jeremy!G33-$G33)&lt;VisitHrs/24)+('Test Patient'!B33=$F33)*ISNUMBER('Test Patient'!C33)*(ABS('Test Patient'!C33-$G33)&lt;VisitHrs/24)+('Test Patient'!D33=$F33)*ISNUMBER('Test Patient'!E33)*(ABS('Test Patient'!E33-$G33)&lt;VisitHrs/24)+('Test Patient'!F33=$F33)*ISNUMBER('Test Patient'!G33)*(ABS('Test Patient'!G33-$G33)&lt;VisitHrs/24))-1)+('Anita Klesch'!$B33=$F33)*($G33&lt;DayEnd)*($G33+VisitHrs/24&gt;DayStart)+('Anita Klesch'!$C33=$F33)*((($G33+VisitHrs/24&gt;DayEnd)+($G33&lt;DayStart))&gt;0)+('Test Patient 2'!$B33=$F33)*($G33&lt;DayEnd)*($G33+VisitHrs/24&gt;DayStart)+('Test Patient 2'!$C33=$F33)*((($G33+VisitHrs/24&gt;DayEnd)+($G33&lt;DayStart))&gt;0)&gt;=1,1,0),0)</f>
        <v>0</v>
      </c>
      <c r="M33" s="12">
        <f t="shared" si="2"/>
        <v>0</v>
      </c>
      <c r="N33" s="12">
        <f t="shared" si="3"/>
        <v>0</v>
      </c>
      <c r="O33" s="12">
        <f t="shared" si="4"/>
        <v>0</v>
      </c>
    </row>
    <row r="34" spans="1:15" x14ac:dyDescent="0.2">
      <c r="A34" s="2">
        <f t="shared" si="5"/>
        <v>46240</v>
      </c>
      <c r="B34" s="3"/>
      <c r="C34" s="24"/>
      <c r="D34" s="19"/>
      <c r="E34" s="25"/>
      <c r="F34" s="19"/>
      <c r="G34" s="25"/>
      <c r="H34" s="12">
        <f t="shared" si="0"/>
        <v>1</v>
      </c>
      <c r="I34" s="12">
        <f t="shared" si="1"/>
        <v>0</v>
      </c>
      <c r="J34" s="12">
        <f>IF(AND($H34=1,$B34&lt;&gt;"",ISNUMBER($C34)),IF(((('Lucy Levene'!B34=$B34)*ISNUMBER('Lucy Levene'!C34)*(ABS('Lucy Levene'!C34-$C34)&lt;VisitHrs/24)+('Lucy Levene'!D34=$B34)*ISNUMBER('Lucy Levene'!E34)*(ABS('Lucy Levene'!E34-$C34)&lt;VisitHrs/24)+('Lucy Levene'!F34=$B34)*ISNUMBER('Lucy Levene'!G34)*(ABS('Lucy Levene'!G34-$C34)&lt;VisitHrs/24)+('Tom Bock'!B34=$B34)*ISNUMBER('Tom Bock'!C34)*(ABS('Tom Bock'!C34-$C34)&lt;VisitHrs/24)+('Tom Bock'!D34=$B34)*ISNUMBER('Tom Bock'!E34)*(ABS('Tom Bock'!E34-$C34)&lt;VisitHrs/24)+('Tom Bock'!F34=$B34)*ISNUMBER('Tom Bock'!G34)*(ABS('Tom Bock'!G34-$C34)&lt;VisitHrs/24)+(Jeremy!B34=$B34)*ISNUMBER(Jeremy!C34)*(ABS(Jeremy!C34-$C34)&lt;VisitHrs/24)+(Jeremy!D34=$B34)*ISNUMBER(Jeremy!E34)*(ABS(Jeremy!E34-$C34)&lt;VisitHrs/24)+(Jeremy!F34=$B34)*ISNUMBER(Jeremy!G34)*(ABS(Jeremy!G34-$C34)&lt;VisitHrs/24)+('Test Patient'!B34=$B34)*ISNUMBER('Test Patient'!C34)*(ABS('Test Patient'!C34-$C34)&lt;VisitHrs/24)+('Test Patient'!D34=$B34)*ISNUMBER('Test Patient'!E34)*(ABS('Test Patient'!E34-$C34)&lt;VisitHrs/24)+('Test Patient'!F34=$B34)*ISNUMBER('Test Patient'!G34)*(ABS('Test Patient'!G34-$C34)&lt;VisitHrs/24))-1)+('Anita Klesch'!$B34=$B34)*($C34&lt;DayEnd)*($C34+VisitHrs/24&gt;DayStart)+('Anita Klesch'!$C34=$B34)*((($C34+VisitHrs/24&gt;DayEnd)+($C34&lt;DayStart))&gt;0)+('Test Patient 2'!$B34=$B34)*($C34&lt;DayEnd)*($C34+VisitHrs/24&gt;DayStart)+('Test Patient 2'!$C34=$B34)*((($C34+VisitHrs/24&gt;DayEnd)+($C34&lt;DayStart))&gt;0)&gt;=1,1,0),0)</f>
        <v>0</v>
      </c>
      <c r="K34" s="12">
        <f>IF(AND($H34=1,$D34&lt;&gt;"",ISNUMBER($E34)),IF(((('Lucy Levene'!B34=$D34)*ISNUMBER('Lucy Levene'!C34)*(ABS('Lucy Levene'!C34-$E34)&lt;VisitHrs/24)+('Lucy Levene'!D34=$D34)*ISNUMBER('Lucy Levene'!E34)*(ABS('Lucy Levene'!E34-$E34)&lt;VisitHrs/24)+('Lucy Levene'!F34=$D34)*ISNUMBER('Lucy Levene'!G34)*(ABS('Lucy Levene'!G34-$E34)&lt;VisitHrs/24)+('Tom Bock'!B34=$D34)*ISNUMBER('Tom Bock'!C34)*(ABS('Tom Bock'!C34-$E34)&lt;VisitHrs/24)+('Tom Bock'!D34=$D34)*ISNUMBER('Tom Bock'!E34)*(ABS('Tom Bock'!E34-$E34)&lt;VisitHrs/24)+('Tom Bock'!F34=$D34)*ISNUMBER('Tom Bock'!G34)*(ABS('Tom Bock'!G34-$E34)&lt;VisitHrs/24)+(Jeremy!B34=$D34)*ISNUMBER(Jeremy!C34)*(ABS(Jeremy!C34-$E34)&lt;VisitHrs/24)+(Jeremy!D34=$D34)*ISNUMBER(Jeremy!E34)*(ABS(Jeremy!E34-$E34)&lt;VisitHrs/24)+(Jeremy!F34=$D34)*ISNUMBER(Jeremy!G34)*(ABS(Jeremy!G34-$E34)&lt;VisitHrs/24)+('Test Patient'!B34=$D34)*ISNUMBER('Test Patient'!C34)*(ABS('Test Patient'!C34-$E34)&lt;VisitHrs/24)+('Test Patient'!D34=$D34)*ISNUMBER('Test Patient'!E34)*(ABS('Test Patient'!E34-$E34)&lt;VisitHrs/24)+('Test Patient'!F34=$D34)*ISNUMBER('Test Patient'!G34)*(ABS('Test Patient'!G34-$E34)&lt;VisitHrs/24))-1)+('Anita Klesch'!$B34=$D34)*($E34&lt;DayEnd)*($E34+VisitHrs/24&gt;DayStart)+('Anita Klesch'!$C34=$D34)*((($E34+VisitHrs/24&gt;DayEnd)+($E34&lt;DayStart))&gt;0)+('Test Patient 2'!$B34=$D34)*($E34&lt;DayEnd)*($E34+VisitHrs/24&gt;DayStart)+('Test Patient 2'!$C34=$D34)*((($E34+VisitHrs/24&gt;DayEnd)+($E34&lt;DayStart))&gt;0)&gt;=1,1,0),0)</f>
        <v>0</v>
      </c>
      <c r="L34" s="12">
        <f>IF(AND($H34=1,$F34&lt;&gt;"",ISNUMBER($G34)),IF(((('Lucy Levene'!B34=$F34)*ISNUMBER('Lucy Levene'!C34)*(ABS('Lucy Levene'!C34-$G34)&lt;VisitHrs/24)+('Lucy Levene'!D34=$F34)*ISNUMBER('Lucy Levene'!E34)*(ABS('Lucy Levene'!E34-$G34)&lt;VisitHrs/24)+('Lucy Levene'!F34=$F34)*ISNUMBER('Lucy Levene'!G34)*(ABS('Lucy Levene'!G34-$G34)&lt;VisitHrs/24)+('Tom Bock'!B34=$F34)*ISNUMBER('Tom Bock'!C34)*(ABS('Tom Bock'!C34-$G34)&lt;VisitHrs/24)+('Tom Bock'!D34=$F34)*ISNUMBER('Tom Bock'!E34)*(ABS('Tom Bock'!E34-$G34)&lt;VisitHrs/24)+('Tom Bock'!F34=$F34)*ISNUMBER('Tom Bock'!G34)*(ABS('Tom Bock'!G34-$G34)&lt;VisitHrs/24)+(Jeremy!B34=$F34)*ISNUMBER(Jeremy!C34)*(ABS(Jeremy!C34-$G34)&lt;VisitHrs/24)+(Jeremy!D34=$F34)*ISNUMBER(Jeremy!E34)*(ABS(Jeremy!E34-$G34)&lt;VisitHrs/24)+(Jeremy!F34=$F34)*ISNUMBER(Jeremy!G34)*(ABS(Jeremy!G34-$G34)&lt;VisitHrs/24)+('Test Patient'!B34=$F34)*ISNUMBER('Test Patient'!C34)*(ABS('Test Patient'!C34-$G34)&lt;VisitHrs/24)+('Test Patient'!D34=$F34)*ISNUMBER('Test Patient'!E34)*(ABS('Test Patient'!E34-$G34)&lt;VisitHrs/24)+('Test Patient'!F34=$F34)*ISNUMBER('Test Patient'!G34)*(ABS('Test Patient'!G34-$G34)&lt;VisitHrs/24))-1)+('Anita Klesch'!$B34=$F34)*($G34&lt;DayEnd)*($G34+VisitHrs/24&gt;DayStart)+('Anita Klesch'!$C34=$F34)*((($G34+VisitHrs/24&gt;DayEnd)+($G34&lt;DayStart))&gt;0)+('Test Patient 2'!$B34=$F34)*($G34&lt;DayEnd)*($G34+VisitHrs/24&gt;DayStart)+('Test Patient 2'!$C34=$F34)*((($G34+VisitHrs/24&gt;DayEnd)+($G34&lt;DayStart))&gt;0)&gt;=1,1,0),0)</f>
        <v>0</v>
      </c>
      <c r="M34" s="12">
        <f t="shared" si="2"/>
        <v>0</v>
      </c>
      <c r="N34" s="12">
        <f t="shared" si="3"/>
        <v>0</v>
      </c>
      <c r="O34" s="12">
        <f t="shared" si="4"/>
        <v>0</v>
      </c>
    </row>
    <row r="35" spans="1:15" x14ac:dyDescent="0.2">
      <c r="A35" s="2">
        <f t="shared" si="5"/>
        <v>46241</v>
      </c>
      <c r="B35" s="3"/>
      <c r="C35" s="24"/>
      <c r="D35" s="19"/>
      <c r="E35" s="25"/>
      <c r="F35" s="19"/>
      <c r="G35" s="25"/>
      <c r="H35" s="12">
        <f t="shared" si="0"/>
        <v>1</v>
      </c>
      <c r="I35" s="12">
        <f t="shared" si="1"/>
        <v>0</v>
      </c>
      <c r="J35" s="12">
        <f>IF(AND($H35=1,$B35&lt;&gt;"",ISNUMBER($C35)),IF(((('Lucy Levene'!B35=$B35)*ISNUMBER('Lucy Levene'!C35)*(ABS('Lucy Levene'!C35-$C35)&lt;VisitHrs/24)+('Lucy Levene'!D35=$B35)*ISNUMBER('Lucy Levene'!E35)*(ABS('Lucy Levene'!E35-$C35)&lt;VisitHrs/24)+('Lucy Levene'!F35=$B35)*ISNUMBER('Lucy Levene'!G35)*(ABS('Lucy Levene'!G35-$C35)&lt;VisitHrs/24)+('Tom Bock'!B35=$B35)*ISNUMBER('Tom Bock'!C35)*(ABS('Tom Bock'!C35-$C35)&lt;VisitHrs/24)+('Tom Bock'!D35=$B35)*ISNUMBER('Tom Bock'!E35)*(ABS('Tom Bock'!E35-$C35)&lt;VisitHrs/24)+('Tom Bock'!F35=$B35)*ISNUMBER('Tom Bock'!G35)*(ABS('Tom Bock'!G35-$C35)&lt;VisitHrs/24)+(Jeremy!B35=$B35)*ISNUMBER(Jeremy!C35)*(ABS(Jeremy!C35-$C35)&lt;VisitHrs/24)+(Jeremy!D35=$B35)*ISNUMBER(Jeremy!E35)*(ABS(Jeremy!E35-$C35)&lt;VisitHrs/24)+(Jeremy!F35=$B35)*ISNUMBER(Jeremy!G35)*(ABS(Jeremy!G35-$C35)&lt;VisitHrs/24)+('Test Patient'!B35=$B35)*ISNUMBER('Test Patient'!C35)*(ABS('Test Patient'!C35-$C35)&lt;VisitHrs/24)+('Test Patient'!D35=$B35)*ISNUMBER('Test Patient'!E35)*(ABS('Test Patient'!E35-$C35)&lt;VisitHrs/24)+('Test Patient'!F35=$B35)*ISNUMBER('Test Patient'!G35)*(ABS('Test Patient'!G35-$C35)&lt;VisitHrs/24))-1)+('Anita Klesch'!$B35=$B35)*($C35&lt;DayEnd)*($C35+VisitHrs/24&gt;DayStart)+('Anita Klesch'!$C35=$B35)*((($C35+VisitHrs/24&gt;DayEnd)+($C35&lt;DayStart))&gt;0)+('Test Patient 2'!$B35=$B35)*($C35&lt;DayEnd)*($C35+VisitHrs/24&gt;DayStart)+('Test Patient 2'!$C35=$B35)*((($C35+VisitHrs/24&gt;DayEnd)+($C35&lt;DayStart))&gt;0)&gt;=1,1,0),0)</f>
        <v>0</v>
      </c>
      <c r="K35" s="12">
        <f>IF(AND($H35=1,$D35&lt;&gt;"",ISNUMBER($E35)),IF(((('Lucy Levene'!B35=$D35)*ISNUMBER('Lucy Levene'!C35)*(ABS('Lucy Levene'!C35-$E35)&lt;VisitHrs/24)+('Lucy Levene'!D35=$D35)*ISNUMBER('Lucy Levene'!E35)*(ABS('Lucy Levene'!E35-$E35)&lt;VisitHrs/24)+('Lucy Levene'!F35=$D35)*ISNUMBER('Lucy Levene'!G35)*(ABS('Lucy Levene'!G35-$E35)&lt;VisitHrs/24)+('Tom Bock'!B35=$D35)*ISNUMBER('Tom Bock'!C35)*(ABS('Tom Bock'!C35-$E35)&lt;VisitHrs/24)+('Tom Bock'!D35=$D35)*ISNUMBER('Tom Bock'!E35)*(ABS('Tom Bock'!E35-$E35)&lt;VisitHrs/24)+('Tom Bock'!F35=$D35)*ISNUMBER('Tom Bock'!G35)*(ABS('Tom Bock'!G35-$E35)&lt;VisitHrs/24)+(Jeremy!B35=$D35)*ISNUMBER(Jeremy!C35)*(ABS(Jeremy!C35-$E35)&lt;VisitHrs/24)+(Jeremy!D35=$D35)*ISNUMBER(Jeremy!E35)*(ABS(Jeremy!E35-$E35)&lt;VisitHrs/24)+(Jeremy!F35=$D35)*ISNUMBER(Jeremy!G35)*(ABS(Jeremy!G35-$E35)&lt;VisitHrs/24)+('Test Patient'!B35=$D35)*ISNUMBER('Test Patient'!C35)*(ABS('Test Patient'!C35-$E35)&lt;VisitHrs/24)+('Test Patient'!D35=$D35)*ISNUMBER('Test Patient'!E35)*(ABS('Test Patient'!E35-$E35)&lt;VisitHrs/24)+('Test Patient'!F35=$D35)*ISNUMBER('Test Patient'!G35)*(ABS('Test Patient'!G35-$E35)&lt;VisitHrs/24))-1)+('Anita Klesch'!$B35=$D35)*($E35&lt;DayEnd)*($E35+VisitHrs/24&gt;DayStart)+('Anita Klesch'!$C35=$D35)*((($E35+VisitHrs/24&gt;DayEnd)+($E35&lt;DayStart))&gt;0)+('Test Patient 2'!$B35=$D35)*($E35&lt;DayEnd)*($E35+VisitHrs/24&gt;DayStart)+('Test Patient 2'!$C35=$D35)*((($E35+VisitHrs/24&gt;DayEnd)+($E35&lt;DayStart))&gt;0)&gt;=1,1,0),0)</f>
        <v>0</v>
      </c>
      <c r="L35" s="12">
        <f>IF(AND($H35=1,$F35&lt;&gt;"",ISNUMBER($G35)),IF(((('Lucy Levene'!B35=$F35)*ISNUMBER('Lucy Levene'!C35)*(ABS('Lucy Levene'!C35-$G35)&lt;VisitHrs/24)+('Lucy Levene'!D35=$F35)*ISNUMBER('Lucy Levene'!E35)*(ABS('Lucy Levene'!E35-$G35)&lt;VisitHrs/24)+('Lucy Levene'!F35=$F35)*ISNUMBER('Lucy Levene'!G35)*(ABS('Lucy Levene'!G35-$G35)&lt;VisitHrs/24)+('Tom Bock'!B35=$F35)*ISNUMBER('Tom Bock'!C35)*(ABS('Tom Bock'!C35-$G35)&lt;VisitHrs/24)+('Tom Bock'!D35=$F35)*ISNUMBER('Tom Bock'!E35)*(ABS('Tom Bock'!E35-$G35)&lt;VisitHrs/24)+('Tom Bock'!F35=$F35)*ISNUMBER('Tom Bock'!G35)*(ABS('Tom Bock'!G35-$G35)&lt;VisitHrs/24)+(Jeremy!B35=$F35)*ISNUMBER(Jeremy!C35)*(ABS(Jeremy!C35-$G35)&lt;VisitHrs/24)+(Jeremy!D35=$F35)*ISNUMBER(Jeremy!E35)*(ABS(Jeremy!E35-$G35)&lt;VisitHrs/24)+(Jeremy!F35=$F35)*ISNUMBER(Jeremy!G35)*(ABS(Jeremy!G35-$G35)&lt;VisitHrs/24)+('Test Patient'!B35=$F35)*ISNUMBER('Test Patient'!C35)*(ABS('Test Patient'!C35-$G35)&lt;VisitHrs/24)+('Test Patient'!D35=$F35)*ISNUMBER('Test Patient'!E35)*(ABS('Test Patient'!E35-$G35)&lt;VisitHrs/24)+('Test Patient'!F35=$F35)*ISNUMBER('Test Patient'!G35)*(ABS('Test Patient'!G35-$G35)&lt;VisitHrs/24))-1)+('Anita Klesch'!$B35=$F35)*($G35&lt;DayEnd)*($G35+VisitHrs/24&gt;DayStart)+('Anita Klesch'!$C35=$F35)*((($G35+VisitHrs/24&gt;DayEnd)+($G35&lt;DayStart))&gt;0)+('Test Patient 2'!$B35=$F35)*($G35&lt;DayEnd)*($G35+VisitHrs/24&gt;DayStart)+('Test Patient 2'!$C35=$F35)*((($G35+VisitHrs/24&gt;DayEnd)+($G35&lt;DayStart))&gt;0)&gt;=1,1,0),0)</f>
        <v>0</v>
      </c>
      <c r="M35" s="12">
        <f t="shared" si="2"/>
        <v>0</v>
      </c>
      <c r="N35" s="12">
        <f t="shared" si="3"/>
        <v>0</v>
      </c>
      <c r="O35" s="12">
        <f t="shared" si="4"/>
        <v>0</v>
      </c>
    </row>
    <row r="36" spans="1:15" x14ac:dyDescent="0.2">
      <c r="A36" s="2">
        <f t="shared" si="5"/>
        <v>46242</v>
      </c>
      <c r="B36" s="3"/>
      <c r="C36" s="24"/>
      <c r="D36" s="19"/>
      <c r="E36" s="25"/>
      <c r="F36" s="19"/>
      <c r="G36" s="25"/>
      <c r="H36" s="12">
        <f t="shared" si="0"/>
        <v>1</v>
      </c>
      <c r="I36" s="12">
        <f t="shared" si="1"/>
        <v>0</v>
      </c>
      <c r="J36" s="12">
        <f>IF(AND($H36=1,$B36&lt;&gt;"",ISNUMBER($C36)),IF(((('Lucy Levene'!B36=$B36)*ISNUMBER('Lucy Levene'!C36)*(ABS('Lucy Levene'!C36-$C36)&lt;VisitHrs/24)+('Lucy Levene'!D36=$B36)*ISNUMBER('Lucy Levene'!E36)*(ABS('Lucy Levene'!E36-$C36)&lt;VisitHrs/24)+('Lucy Levene'!F36=$B36)*ISNUMBER('Lucy Levene'!G36)*(ABS('Lucy Levene'!G36-$C36)&lt;VisitHrs/24)+('Tom Bock'!B36=$B36)*ISNUMBER('Tom Bock'!C36)*(ABS('Tom Bock'!C36-$C36)&lt;VisitHrs/24)+('Tom Bock'!D36=$B36)*ISNUMBER('Tom Bock'!E36)*(ABS('Tom Bock'!E36-$C36)&lt;VisitHrs/24)+('Tom Bock'!F36=$B36)*ISNUMBER('Tom Bock'!G36)*(ABS('Tom Bock'!G36-$C36)&lt;VisitHrs/24)+(Jeremy!B36=$B36)*ISNUMBER(Jeremy!C36)*(ABS(Jeremy!C36-$C36)&lt;VisitHrs/24)+(Jeremy!D36=$B36)*ISNUMBER(Jeremy!E36)*(ABS(Jeremy!E36-$C36)&lt;VisitHrs/24)+(Jeremy!F36=$B36)*ISNUMBER(Jeremy!G36)*(ABS(Jeremy!G36-$C36)&lt;VisitHrs/24)+('Test Patient'!B36=$B36)*ISNUMBER('Test Patient'!C36)*(ABS('Test Patient'!C36-$C36)&lt;VisitHrs/24)+('Test Patient'!D36=$B36)*ISNUMBER('Test Patient'!E36)*(ABS('Test Patient'!E36-$C36)&lt;VisitHrs/24)+('Test Patient'!F36=$B36)*ISNUMBER('Test Patient'!G36)*(ABS('Test Patient'!G36-$C36)&lt;VisitHrs/24))-1)+('Anita Klesch'!$B36=$B36)*($C36&lt;DayEnd)*($C36+VisitHrs/24&gt;DayStart)+('Anita Klesch'!$C36=$B36)*((($C36+VisitHrs/24&gt;DayEnd)+($C36&lt;DayStart))&gt;0)+('Test Patient 2'!$B36=$B36)*($C36&lt;DayEnd)*($C36+VisitHrs/24&gt;DayStart)+('Test Patient 2'!$C36=$B36)*((($C36+VisitHrs/24&gt;DayEnd)+($C36&lt;DayStart))&gt;0)&gt;=1,1,0),0)</f>
        <v>0</v>
      </c>
      <c r="K36" s="12">
        <f>IF(AND($H36=1,$D36&lt;&gt;"",ISNUMBER($E36)),IF(((('Lucy Levene'!B36=$D36)*ISNUMBER('Lucy Levene'!C36)*(ABS('Lucy Levene'!C36-$E36)&lt;VisitHrs/24)+('Lucy Levene'!D36=$D36)*ISNUMBER('Lucy Levene'!E36)*(ABS('Lucy Levene'!E36-$E36)&lt;VisitHrs/24)+('Lucy Levene'!F36=$D36)*ISNUMBER('Lucy Levene'!G36)*(ABS('Lucy Levene'!G36-$E36)&lt;VisitHrs/24)+('Tom Bock'!B36=$D36)*ISNUMBER('Tom Bock'!C36)*(ABS('Tom Bock'!C36-$E36)&lt;VisitHrs/24)+('Tom Bock'!D36=$D36)*ISNUMBER('Tom Bock'!E36)*(ABS('Tom Bock'!E36-$E36)&lt;VisitHrs/24)+('Tom Bock'!F36=$D36)*ISNUMBER('Tom Bock'!G36)*(ABS('Tom Bock'!G36-$E36)&lt;VisitHrs/24)+(Jeremy!B36=$D36)*ISNUMBER(Jeremy!C36)*(ABS(Jeremy!C36-$E36)&lt;VisitHrs/24)+(Jeremy!D36=$D36)*ISNUMBER(Jeremy!E36)*(ABS(Jeremy!E36-$E36)&lt;VisitHrs/24)+(Jeremy!F36=$D36)*ISNUMBER(Jeremy!G36)*(ABS(Jeremy!G36-$E36)&lt;VisitHrs/24)+('Test Patient'!B36=$D36)*ISNUMBER('Test Patient'!C36)*(ABS('Test Patient'!C36-$E36)&lt;VisitHrs/24)+('Test Patient'!D36=$D36)*ISNUMBER('Test Patient'!E36)*(ABS('Test Patient'!E36-$E36)&lt;VisitHrs/24)+('Test Patient'!F36=$D36)*ISNUMBER('Test Patient'!G36)*(ABS('Test Patient'!G36-$E36)&lt;VisitHrs/24))-1)+('Anita Klesch'!$B36=$D36)*($E36&lt;DayEnd)*($E36+VisitHrs/24&gt;DayStart)+('Anita Klesch'!$C36=$D36)*((($E36+VisitHrs/24&gt;DayEnd)+($E36&lt;DayStart))&gt;0)+('Test Patient 2'!$B36=$D36)*($E36&lt;DayEnd)*($E36+VisitHrs/24&gt;DayStart)+('Test Patient 2'!$C36=$D36)*((($E36+VisitHrs/24&gt;DayEnd)+($E36&lt;DayStart))&gt;0)&gt;=1,1,0),0)</f>
        <v>0</v>
      </c>
      <c r="L36" s="12">
        <f>IF(AND($H36=1,$F36&lt;&gt;"",ISNUMBER($G36)),IF(((('Lucy Levene'!B36=$F36)*ISNUMBER('Lucy Levene'!C36)*(ABS('Lucy Levene'!C36-$G36)&lt;VisitHrs/24)+('Lucy Levene'!D36=$F36)*ISNUMBER('Lucy Levene'!E36)*(ABS('Lucy Levene'!E36-$G36)&lt;VisitHrs/24)+('Lucy Levene'!F36=$F36)*ISNUMBER('Lucy Levene'!G36)*(ABS('Lucy Levene'!G36-$G36)&lt;VisitHrs/24)+('Tom Bock'!B36=$F36)*ISNUMBER('Tom Bock'!C36)*(ABS('Tom Bock'!C36-$G36)&lt;VisitHrs/24)+('Tom Bock'!D36=$F36)*ISNUMBER('Tom Bock'!E36)*(ABS('Tom Bock'!E36-$G36)&lt;VisitHrs/24)+('Tom Bock'!F36=$F36)*ISNUMBER('Tom Bock'!G36)*(ABS('Tom Bock'!G36-$G36)&lt;VisitHrs/24)+(Jeremy!B36=$F36)*ISNUMBER(Jeremy!C36)*(ABS(Jeremy!C36-$G36)&lt;VisitHrs/24)+(Jeremy!D36=$F36)*ISNUMBER(Jeremy!E36)*(ABS(Jeremy!E36-$G36)&lt;VisitHrs/24)+(Jeremy!F36=$F36)*ISNUMBER(Jeremy!G36)*(ABS(Jeremy!G36-$G36)&lt;VisitHrs/24)+('Test Patient'!B36=$F36)*ISNUMBER('Test Patient'!C36)*(ABS('Test Patient'!C36-$G36)&lt;VisitHrs/24)+('Test Patient'!D36=$F36)*ISNUMBER('Test Patient'!E36)*(ABS('Test Patient'!E36-$G36)&lt;VisitHrs/24)+('Test Patient'!F36=$F36)*ISNUMBER('Test Patient'!G36)*(ABS('Test Patient'!G36-$G36)&lt;VisitHrs/24))-1)+('Anita Klesch'!$B36=$F36)*($G36&lt;DayEnd)*($G36+VisitHrs/24&gt;DayStart)+('Anita Klesch'!$C36=$F36)*((($G36+VisitHrs/24&gt;DayEnd)+($G36&lt;DayStart))&gt;0)+('Test Patient 2'!$B36=$F36)*($G36&lt;DayEnd)*($G36+VisitHrs/24&gt;DayStart)+('Test Patient 2'!$C36=$F36)*((($G36+VisitHrs/24&gt;DayEnd)+($G36&lt;DayStart))&gt;0)&gt;=1,1,0),0)</f>
        <v>0</v>
      </c>
      <c r="M36" s="12">
        <f t="shared" si="2"/>
        <v>0</v>
      </c>
      <c r="N36" s="12">
        <f t="shared" si="3"/>
        <v>0</v>
      </c>
      <c r="O36" s="12">
        <f t="shared" si="4"/>
        <v>0</v>
      </c>
    </row>
    <row r="37" spans="1:15" x14ac:dyDescent="0.2">
      <c r="A37" s="2">
        <f t="shared" si="5"/>
        <v>46243</v>
      </c>
      <c r="B37" s="3"/>
      <c r="C37" s="24"/>
      <c r="D37" s="19"/>
      <c r="E37" s="25"/>
      <c r="F37" s="19"/>
      <c r="G37" s="25"/>
      <c r="H37" s="12">
        <f t="shared" si="0"/>
        <v>1</v>
      </c>
      <c r="I37" s="12">
        <f t="shared" si="1"/>
        <v>0</v>
      </c>
      <c r="J37" s="12">
        <f>IF(AND($H37=1,$B37&lt;&gt;"",ISNUMBER($C37)),IF(((('Lucy Levene'!B37=$B37)*ISNUMBER('Lucy Levene'!C37)*(ABS('Lucy Levene'!C37-$C37)&lt;VisitHrs/24)+('Lucy Levene'!D37=$B37)*ISNUMBER('Lucy Levene'!E37)*(ABS('Lucy Levene'!E37-$C37)&lt;VisitHrs/24)+('Lucy Levene'!F37=$B37)*ISNUMBER('Lucy Levene'!G37)*(ABS('Lucy Levene'!G37-$C37)&lt;VisitHrs/24)+('Tom Bock'!B37=$B37)*ISNUMBER('Tom Bock'!C37)*(ABS('Tom Bock'!C37-$C37)&lt;VisitHrs/24)+('Tom Bock'!D37=$B37)*ISNUMBER('Tom Bock'!E37)*(ABS('Tom Bock'!E37-$C37)&lt;VisitHrs/24)+('Tom Bock'!F37=$B37)*ISNUMBER('Tom Bock'!G37)*(ABS('Tom Bock'!G37-$C37)&lt;VisitHrs/24)+(Jeremy!B37=$B37)*ISNUMBER(Jeremy!C37)*(ABS(Jeremy!C37-$C37)&lt;VisitHrs/24)+(Jeremy!D37=$B37)*ISNUMBER(Jeremy!E37)*(ABS(Jeremy!E37-$C37)&lt;VisitHrs/24)+(Jeremy!F37=$B37)*ISNUMBER(Jeremy!G37)*(ABS(Jeremy!G37-$C37)&lt;VisitHrs/24)+('Test Patient'!B37=$B37)*ISNUMBER('Test Patient'!C37)*(ABS('Test Patient'!C37-$C37)&lt;VisitHrs/24)+('Test Patient'!D37=$B37)*ISNUMBER('Test Patient'!E37)*(ABS('Test Patient'!E37-$C37)&lt;VisitHrs/24)+('Test Patient'!F37=$B37)*ISNUMBER('Test Patient'!G37)*(ABS('Test Patient'!G37-$C37)&lt;VisitHrs/24))-1)+('Anita Klesch'!$B37=$B37)*($C37&lt;DayEnd)*($C37+VisitHrs/24&gt;DayStart)+('Anita Klesch'!$C37=$B37)*((($C37+VisitHrs/24&gt;DayEnd)+($C37&lt;DayStart))&gt;0)+('Test Patient 2'!$B37=$B37)*($C37&lt;DayEnd)*($C37+VisitHrs/24&gt;DayStart)+('Test Patient 2'!$C37=$B37)*((($C37+VisitHrs/24&gt;DayEnd)+($C37&lt;DayStart))&gt;0)&gt;=1,1,0),0)</f>
        <v>0</v>
      </c>
      <c r="K37" s="12">
        <f>IF(AND($H37=1,$D37&lt;&gt;"",ISNUMBER($E37)),IF(((('Lucy Levene'!B37=$D37)*ISNUMBER('Lucy Levene'!C37)*(ABS('Lucy Levene'!C37-$E37)&lt;VisitHrs/24)+('Lucy Levene'!D37=$D37)*ISNUMBER('Lucy Levene'!E37)*(ABS('Lucy Levene'!E37-$E37)&lt;VisitHrs/24)+('Lucy Levene'!F37=$D37)*ISNUMBER('Lucy Levene'!G37)*(ABS('Lucy Levene'!G37-$E37)&lt;VisitHrs/24)+('Tom Bock'!B37=$D37)*ISNUMBER('Tom Bock'!C37)*(ABS('Tom Bock'!C37-$E37)&lt;VisitHrs/24)+('Tom Bock'!D37=$D37)*ISNUMBER('Tom Bock'!E37)*(ABS('Tom Bock'!E37-$E37)&lt;VisitHrs/24)+('Tom Bock'!F37=$D37)*ISNUMBER('Tom Bock'!G37)*(ABS('Tom Bock'!G37-$E37)&lt;VisitHrs/24)+(Jeremy!B37=$D37)*ISNUMBER(Jeremy!C37)*(ABS(Jeremy!C37-$E37)&lt;VisitHrs/24)+(Jeremy!D37=$D37)*ISNUMBER(Jeremy!E37)*(ABS(Jeremy!E37-$E37)&lt;VisitHrs/24)+(Jeremy!F37=$D37)*ISNUMBER(Jeremy!G37)*(ABS(Jeremy!G37-$E37)&lt;VisitHrs/24)+('Test Patient'!B37=$D37)*ISNUMBER('Test Patient'!C37)*(ABS('Test Patient'!C37-$E37)&lt;VisitHrs/24)+('Test Patient'!D37=$D37)*ISNUMBER('Test Patient'!E37)*(ABS('Test Patient'!E37-$E37)&lt;VisitHrs/24)+('Test Patient'!F37=$D37)*ISNUMBER('Test Patient'!G37)*(ABS('Test Patient'!G37-$E37)&lt;VisitHrs/24))-1)+('Anita Klesch'!$B37=$D37)*($E37&lt;DayEnd)*($E37+VisitHrs/24&gt;DayStart)+('Anita Klesch'!$C37=$D37)*((($E37+VisitHrs/24&gt;DayEnd)+($E37&lt;DayStart))&gt;0)+('Test Patient 2'!$B37=$D37)*($E37&lt;DayEnd)*($E37+VisitHrs/24&gt;DayStart)+('Test Patient 2'!$C37=$D37)*((($E37+VisitHrs/24&gt;DayEnd)+($E37&lt;DayStart))&gt;0)&gt;=1,1,0),0)</f>
        <v>0</v>
      </c>
      <c r="L37" s="12">
        <f>IF(AND($H37=1,$F37&lt;&gt;"",ISNUMBER($G37)),IF(((('Lucy Levene'!B37=$F37)*ISNUMBER('Lucy Levene'!C37)*(ABS('Lucy Levene'!C37-$G37)&lt;VisitHrs/24)+('Lucy Levene'!D37=$F37)*ISNUMBER('Lucy Levene'!E37)*(ABS('Lucy Levene'!E37-$G37)&lt;VisitHrs/24)+('Lucy Levene'!F37=$F37)*ISNUMBER('Lucy Levene'!G37)*(ABS('Lucy Levene'!G37-$G37)&lt;VisitHrs/24)+('Tom Bock'!B37=$F37)*ISNUMBER('Tom Bock'!C37)*(ABS('Tom Bock'!C37-$G37)&lt;VisitHrs/24)+('Tom Bock'!D37=$F37)*ISNUMBER('Tom Bock'!E37)*(ABS('Tom Bock'!E37-$G37)&lt;VisitHrs/24)+('Tom Bock'!F37=$F37)*ISNUMBER('Tom Bock'!G37)*(ABS('Tom Bock'!G37-$G37)&lt;VisitHrs/24)+(Jeremy!B37=$F37)*ISNUMBER(Jeremy!C37)*(ABS(Jeremy!C37-$G37)&lt;VisitHrs/24)+(Jeremy!D37=$F37)*ISNUMBER(Jeremy!E37)*(ABS(Jeremy!E37-$G37)&lt;VisitHrs/24)+(Jeremy!F37=$F37)*ISNUMBER(Jeremy!G37)*(ABS(Jeremy!G37-$G37)&lt;VisitHrs/24)+('Test Patient'!B37=$F37)*ISNUMBER('Test Patient'!C37)*(ABS('Test Patient'!C37-$G37)&lt;VisitHrs/24)+('Test Patient'!D37=$F37)*ISNUMBER('Test Patient'!E37)*(ABS('Test Patient'!E37-$G37)&lt;VisitHrs/24)+('Test Patient'!F37=$F37)*ISNUMBER('Test Patient'!G37)*(ABS('Test Patient'!G37-$G37)&lt;VisitHrs/24))-1)+('Anita Klesch'!$B37=$F37)*($G37&lt;DayEnd)*($G37+VisitHrs/24&gt;DayStart)+('Anita Klesch'!$C37=$F37)*((($G37+VisitHrs/24&gt;DayEnd)+($G37&lt;DayStart))&gt;0)+('Test Patient 2'!$B37=$F37)*($G37&lt;DayEnd)*($G37+VisitHrs/24&gt;DayStart)+('Test Patient 2'!$C37=$F37)*((($G37+VisitHrs/24&gt;DayEnd)+($G37&lt;DayStart))&gt;0)&gt;=1,1,0),0)</f>
        <v>0</v>
      </c>
      <c r="M37" s="12">
        <f t="shared" si="2"/>
        <v>0</v>
      </c>
      <c r="N37" s="12">
        <f t="shared" si="3"/>
        <v>0</v>
      </c>
      <c r="O37" s="12">
        <f t="shared" si="4"/>
        <v>0</v>
      </c>
    </row>
    <row r="38" spans="1:15" x14ac:dyDescent="0.2">
      <c r="A38" s="2">
        <f t="shared" si="5"/>
        <v>46244</v>
      </c>
      <c r="B38" s="3"/>
      <c r="C38" s="24"/>
      <c r="D38" s="19"/>
      <c r="E38" s="25"/>
      <c r="F38" s="19"/>
      <c r="G38" s="25"/>
      <c r="H38" s="12">
        <f t="shared" si="0"/>
        <v>1</v>
      </c>
      <c r="I38" s="12">
        <f t="shared" si="1"/>
        <v>0</v>
      </c>
      <c r="J38" s="12">
        <f>IF(AND($H38=1,$B38&lt;&gt;"",ISNUMBER($C38)),IF(((('Lucy Levene'!B38=$B38)*ISNUMBER('Lucy Levene'!C38)*(ABS('Lucy Levene'!C38-$C38)&lt;VisitHrs/24)+('Lucy Levene'!D38=$B38)*ISNUMBER('Lucy Levene'!E38)*(ABS('Lucy Levene'!E38-$C38)&lt;VisitHrs/24)+('Lucy Levene'!F38=$B38)*ISNUMBER('Lucy Levene'!G38)*(ABS('Lucy Levene'!G38-$C38)&lt;VisitHrs/24)+('Tom Bock'!B38=$B38)*ISNUMBER('Tom Bock'!C38)*(ABS('Tom Bock'!C38-$C38)&lt;VisitHrs/24)+('Tom Bock'!D38=$B38)*ISNUMBER('Tom Bock'!E38)*(ABS('Tom Bock'!E38-$C38)&lt;VisitHrs/24)+('Tom Bock'!F38=$B38)*ISNUMBER('Tom Bock'!G38)*(ABS('Tom Bock'!G38-$C38)&lt;VisitHrs/24)+(Jeremy!B38=$B38)*ISNUMBER(Jeremy!C38)*(ABS(Jeremy!C38-$C38)&lt;VisitHrs/24)+(Jeremy!D38=$B38)*ISNUMBER(Jeremy!E38)*(ABS(Jeremy!E38-$C38)&lt;VisitHrs/24)+(Jeremy!F38=$B38)*ISNUMBER(Jeremy!G38)*(ABS(Jeremy!G38-$C38)&lt;VisitHrs/24)+('Test Patient'!B38=$B38)*ISNUMBER('Test Patient'!C38)*(ABS('Test Patient'!C38-$C38)&lt;VisitHrs/24)+('Test Patient'!D38=$B38)*ISNUMBER('Test Patient'!E38)*(ABS('Test Patient'!E38-$C38)&lt;VisitHrs/24)+('Test Patient'!F38=$B38)*ISNUMBER('Test Patient'!G38)*(ABS('Test Patient'!G38-$C38)&lt;VisitHrs/24))-1)+('Anita Klesch'!$B38=$B38)*($C38&lt;DayEnd)*($C38+VisitHrs/24&gt;DayStart)+('Anita Klesch'!$C38=$B38)*((($C38+VisitHrs/24&gt;DayEnd)+($C38&lt;DayStart))&gt;0)+('Test Patient 2'!$B38=$B38)*($C38&lt;DayEnd)*($C38+VisitHrs/24&gt;DayStart)+('Test Patient 2'!$C38=$B38)*((($C38+VisitHrs/24&gt;DayEnd)+($C38&lt;DayStart))&gt;0)&gt;=1,1,0),0)</f>
        <v>0</v>
      </c>
      <c r="K38" s="12">
        <f>IF(AND($H38=1,$D38&lt;&gt;"",ISNUMBER($E38)),IF(((('Lucy Levene'!B38=$D38)*ISNUMBER('Lucy Levene'!C38)*(ABS('Lucy Levene'!C38-$E38)&lt;VisitHrs/24)+('Lucy Levene'!D38=$D38)*ISNUMBER('Lucy Levene'!E38)*(ABS('Lucy Levene'!E38-$E38)&lt;VisitHrs/24)+('Lucy Levene'!F38=$D38)*ISNUMBER('Lucy Levene'!G38)*(ABS('Lucy Levene'!G38-$E38)&lt;VisitHrs/24)+('Tom Bock'!B38=$D38)*ISNUMBER('Tom Bock'!C38)*(ABS('Tom Bock'!C38-$E38)&lt;VisitHrs/24)+('Tom Bock'!D38=$D38)*ISNUMBER('Tom Bock'!E38)*(ABS('Tom Bock'!E38-$E38)&lt;VisitHrs/24)+('Tom Bock'!F38=$D38)*ISNUMBER('Tom Bock'!G38)*(ABS('Tom Bock'!G38-$E38)&lt;VisitHrs/24)+(Jeremy!B38=$D38)*ISNUMBER(Jeremy!C38)*(ABS(Jeremy!C38-$E38)&lt;VisitHrs/24)+(Jeremy!D38=$D38)*ISNUMBER(Jeremy!E38)*(ABS(Jeremy!E38-$E38)&lt;VisitHrs/24)+(Jeremy!F38=$D38)*ISNUMBER(Jeremy!G38)*(ABS(Jeremy!G38-$E38)&lt;VisitHrs/24)+('Test Patient'!B38=$D38)*ISNUMBER('Test Patient'!C38)*(ABS('Test Patient'!C38-$E38)&lt;VisitHrs/24)+('Test Patient'!D38=$D38)*ISNUMBER('Test Patient'!E38)*(ABS('Test Patient'!E38-$E38)&lt;VisitHrs/24)+('Test Patient'!F38=$D38)*ISNUMBER('Test Patient'!G38)*(ABS('Test Patient'!G38-$E38)&lt;VisitHrs/24))-1)+('Anita Klesch'!$B38=$D38)*($E38&lt;DayEnd)*($E38+VisitHrs/24&gt;DayStart)+('Anita Klesch'!$C38=$D38)*((($E38+VisitHrs/24&gt;DayEnd)+($E38&lt;DayStart))&gt;0)+('Test Patient 2'!$B38=$D38)*($E38&lt;DayEnd)*($E38+VisitHrs/24&gt;DayStart)+('Test Patient 2'!$C38=$D38)*((($E38+VisitHrs/24&gt;DayEnd)+($E38&lt;DayStart))&gt;0)&gt;=1,1,0),0)</f>
        <v>0</v>
      </c>
      <c r="L38" s="12">
        <f>IF(AND($H38=1,$F38&lt;&gt;"",ISNUMBER($G38)),IF(((('Lucy Levene'!B38=$F38)*ISNUMBER('Lucy Levene'!C38)*(ABS('Lucy Levene'!C38-$G38)&lt;VisitHrs/24)+('Lucy Levene'!D38=$F38)*ISNUMBER('Lucy Levene'!E38)*(ABS('Lucy Levene'!E38-$G38)&lt;VisitHrs/24)+('Lucy Levene'!F38=$F38)*ISNUMBER('Lucy Levene'!G38)*(ABS('Lucy Levene'!G38-$G38)&lt;VisitHrs/24)+('Tom Bock'!B38=$F38)*ISNUMBER('Tom Bock'!C38)*(ABS('Tom Bock'!C38-$G38)&lt;VisitHrs/24)+('Tom Bock'!D38=$F38)*ISNUMBER('Tom Bock'!E38)*(ABS('Tom Bock'!E38-$G38)&lt;VisitHrs/24)+('Tom Bock'!F38=$F38)*ISNUMBER('Tom Bock'!G38)*(ABS('Tom Bock'!G38-$G38)&lt;VisitHrs/24)+(Jeremy!B38=$F38)*ISNUMBER(Jeremy!C38)*(ABS(Jeremy!C38-$G38)&lt;VisitHrs/24)+(Jeremy!D38=$F38)*ISNUMBER(Jeremy!E38)*(ABS(Jeremy!E38-$G38)&lt;VisitHrs/24)+(Jeremy!F38=$F38)*ISNUMBER(Jeremy!G38)*(ABS(Jeremy!G38-$G38)&lt;VisitHrs/24)+('Test Patient'!B38=$F38)*ISNUMBER('Test Patient'!C38)*(ABS('Test Patient'!C38-$G38)&lt;VisitHrs/24)+('Test Patient'!D38=$F38)*ISNUMBER('Test Patient'!E38)*(ABS('Test Patient'!E38-$G38)&lt;VisitHrs/24)+('Test Patient'!F38=$F38)*ISNUMBER('Test Patient'!G38)*(ABS('Test Patient'!G38-$G38)&lt;VisitHrs/24))-1)+('Anita Klesch'!$B38=$F38)*($G38&lt;DayEnd)*($G38+VisitHrs/24&gt;DayStart)+('Anita Klesch'!$C38=$F38)*((($G38+VisitHrs/24&gt;DayEnd)+($G38&lt;DayStart))&gt;0)+('Test Patient 2'!$B38=$F38)*($G38&lt;DayEnd)*($G38+VisitHrs/24&gt;DayStart)+('Test Patient 2'!$C38=$F38)*((($G38+VisitHrs/24&gt;DayEnd)+($G38&lt;DayStart))&gt;0)&gt;=1,1,0),0)</f>
        <v>0</v>
      </c>
      <c r="M38" s="12">
        <f t="shared" si="2"/>
        <v>0</v>
      </c>
      <c r="N38" s="12">
        <f t="shared" si="3"/>
        <v>0</v>
      </c>
      <c r="O38" s="12">
        <f t="shared" si="4"/>
        <v>0</v>
      </c>
    </row>
    <row r="39" spans="1:15" x14ac:dyDescent="0.2">
      <c r="A39" s="2">
        <f t="shared" si="5"/>
        <v>46245</v>
      </c>
      <c r="B39" s="3"/>
      <c r="C39" s="24"/>
      <c r="D39" s="19"/>
      <c r="E39" s="25"/>
      <c r="F39" s="19"/>
      <c r="G39" s="25"/>
      <c r="H39" s="12">
        <f t="shared" si="0"/>
        <v>1</v>
      </c>
      <c r="I39" s="12">
        <f t="shared" si="1"/>
        <v>0</v>
      </c>
      <c r="J39" s="12">
        <f>IF(AND($H39=1,$B39&lt;&gt;"",ISNUMBER($C39)),IF(((('Lucy Levene'!B39=$B39)*ISNUMBER('Lucy Levene'!C39)*(ABS('Lucy Levene'!C39-$C39)&lt;VisitHrs/24)+('Lucy Levene'!D39=$B39)*ISNUMBER('Lucy Levene'!E39)*(ABS('Lucy Levene'!E39-$C39)&lt;VisitHrs/24)+('Lucy Levene'!F39=$B39)*ISNUMBER('Lucy Levene'!G39)*(ABS('Lucy Levene'!G39-$C39)&lt;VisitHrs/24)+('Tom Bock'!B39=$B39)*ISNUMBER('Tom Bock'!C39)*(ABS('Tom Bock'!C39-$C39)&lt;VisitHrs/24)+('Tom Bock'!D39=$B39)*ISNUMBER('Tom Bock'!E39)*(ABS('Tom Bock'!E39-$C39)&lt;VisitHrs/24)+('Tom Bock'!F39=$B39)*ISNUMBER('Tom Bock'!G39)*(ABS('Tom Bock'!G39-$C39)&lt;VisitHrs/24)+(Jeremy!B39=$B39)*ISNUMBER(Jeremy!C39)*(ABS(Jeremy!C39-$C39)&lt;VisitHrs/24)+(Jeremy!D39=$B39)*ISNUMBER(Jeremy!E39)*(ABS(Jeremy!E39-$C39)&lt;VisitHrs/24)+(Jeremy!F39=$B39)*ISNUMBER(Jeremy!G39)*(ABS(Jeremy!G39-$C39)&lt;VisitHrs/24)+('Test Patient'!B39=$B39)*ISNUMBER('Test Patient'!C39)*(ABS('Test Patient'!C39-$C39)&lt;VisitHrs/24)+('Test Patient'!D39=$B39)*ISNUMBER('Test Patient'!E39)*(ABS('Test Patient'!E39-$C39)&lt;VisitHrs/24)+('Test Patient'!F39=$B39)*ISNUMBER('Test Patient'!G39)*(ABS('Test Patient'!G39-$C39)&lt;VisitHrs/24))-1)+('Anita Klesch'!$B39=$B39)*($C39&lt;DayEnd)*($C39+VisitHrs/24&gt;DayStart)+('Anita Klesch'!$C39=$B39)*((($C39+VisitHrs/24&gt;DayEnd)+($C39&lt;DayStart))&gt;0)+('Test Patient 2'!$B39=$B39)*($C39&lt;DayEnd)*($C39+VisitHrs/24&gt;DayStart)+('Test Patient 2'!$C39=$B39)*((($C39+VisitHrs/24&gt;DayEnd)+($C39&lt;DayStart))&gt;0)&gt;=1,1,0),0)</f>
        <v>0</v>
      </c>
      <c r="K39" s="12">
        <f>IF(AND($H39=1,$D39&lt;&gt;"",ISNUMBER($E39)),IF(((('Lucy Levene'!B39=$D39)*ISNUMBER('Lucy Levene'!C39)*(ABS('Lucy Levene'!C39-$E39)&lt;VisitHrs/24)+('Lucy Levene'!D39=$D39)*ISNUMBER('Lucy Levene'!E39)*(ABS('Lucy Levene'!E39-$E39)&lt;VisitHrs/24)+('Lucy Levene'!F39=$D39)*ISNUMBER('Lucy Levene'!G39)*(ABS('Lucy Levene'!G39-$E39)&lt;VisitHrs/24)+('Tom Bock'!B39=$D39)*ISNUMBER('Tom Bock'!C39)*(ABS('Tom Bock'!C39-$E39)&lt;VisitHrs/24)+('Tom Bock'!D39=$D39)*ISNUMBER('Tom Bock'!E39)*(ABS('Tom Bock'!E39-$E39)&lt;VisitHrs/24)+('Tom Bock'!F39=$D39)*ISNUMBER('Tom Bock'!G39)*(ABS('Tom Bock'!G39-$E39)&lt;VisitHrs/24)+(Jeremy!B39=$D39)*ISNUMBER(Jeremy!C39)*(ABS(Jeremy!C39-$E39)&lt;VisitHrs/24)+(Jeremy!D39=$D39)*ISNUMBER(Jeremy!E39)*(ABS(Jeremy!E39-$E39)&lt;VisitHrs/24)+(Jeremy!F39=$D39)*ISNUMBER(Jeremy!G39)*(ABS(Jeremy!G39-$E39)&lt;VisitHrs/24)+('Test Patient'!B39=$D39)*ISNUMBER('Test Patient'!C39)*(ABS('Test Patient'!C39-$E39)&lt;VisitHrs/24)+('Test Patient'!D39=$D39)*ISNUMBER('Test Patient'!E39)*(ABS('Test Patient'!E39-$E39)&lt;VisitHrs/24)+('Test Patient'!F39=$D39)*ISNUMBER('Test Patient'!G39)*(ABS('Test Patient'!G39-$E39)&lt;VisitHrs/24))-1)+('Anita Klesch'!$B39=$D39)*($E39&lt;DayEnd)*($E39+VisitHrs/24&gt;DayStart)+('Anita Klesch'!$C39=$D39)*((($E39+VisitHrs/24&gt;DayEnd)+($E39&lt;DayStart))&gt;0)+('Test Patient 2'!$B39=$D39)*($E39&lt;DayEnd)*($E39+VisitHrs/24&gt;DayStart)+('Test Patient 2'!$C39=$D39)*((($E39+VisitHrs/24&gt;DayEnd)+($E39&lt;DayStart))&gt;0)&gt;=1,1,0),0)</f>
        <v>0</v>
      </c>
      <c r="L39" s="12">
        <f>IF(AND($H39=1,$F39&lt;&gt;"",ISNUMBER($G39)),IF(((('Lucy Levene'!B39=$F39)*ISNUMBER('Lucy Levene'!C39)*(ABS('Lucy Levene'!C39-$G39)&lt;VisitHrs/24)+('Lucy Levene'!D39=$F39)*ISNUMBER('Lucy Levene'!E39)*(ABS('Lucy Levene'!E39-$G39)&lt;VisitHrs/24)+('Lucy Levene'!F39=$F39)*ISNUMBER('Lucy Levene'!G39)*(ABS('Lucy Levene'!G39-$G39)&lt;VisitHrs/24)+('Tom Bock'!B39=$F39)*ISNUMBER('Tom Bock'!C39)*(ABS('Tom Bock'!C39-$G39)&lt;VisitHrs/24)+('Tom Bock'!D39=$F39)*ISNUMBER('Tom Bock'!E39)*(ABS('Tom Bock'!E39-$G39)&lt;VisitHrs/24)+('Tom Bock'!F39=$F39)*ISNUMBER('Tom Bock'!G39)*(ABS('Tom Bock'!G39-$G39)&lt;VisitHrs/24)+(Jeremy!B39=$F39)*ISNUMBER(Jeremy!C39)*(ABS(Jeremy!C39-$G39)&lt;VisitHrs/24)+(Jeremy!D39=$F39)*ISNUMBER(Jeremy!E39)*(ABS(Jeremy!E39-$G39)&lt;VisitHrs/24)+(Jeremy!F39=$F39)*ISNUMBER(Jeremy!G39)*(ABS(Jeremy!G39-$G39)&lt;VisitHrs/24)+('Test Patient'!B39=$F39)*ISNUMBER('Test Patient'!C39)*(ABS('Test Patient'!C39-$G39)&lt;VisitHrs/24)+('Test Patient'!D39=$F39)*ISNUMBER('Test Patient'!E39)*(ABS('Test Patient'!E39-$G39)&lt;VisitHrs/24)+('Test Patient'!F39=$F39)*ISNUMBER('Test Patient'!G39)*(ABS('Test Patient'!G39-$G39)&lt;VisitHrs/24))-1)+('Anita Klesch'!$B39=$F39)*($G39&lt;DayEnd)*($G39+VisitHrs/24&gt;DayStart)+('Anita Klesch'!$C39=$F39)*((($G39+VisitHrs/24&gt;DayEnd)+($G39&lt;DayStart))&gt;0)+('Test Patient 2'!$B39=$F39)*($G39&lt;DayEnd)*($G39+VisitHrs/24&gt;DayStart)+('Test Patient 2'!$C39=$F39)*((($G39+VisitHrs/24&gt;DayEnd)+($G39&lt;DayStart))&gt;0)&gt;=1,1,0),0)</f>
        <v>0</v>
      </c>
      <c r="M39" s="12">
        <f t="shared" si="2"/>
        <v>0</v>
      </c>
      <c r="N39" s="12">
        <f t="shared" si="3"/>
        <v>0</v>
      </c>
      <c r="O39" s="12">
        <f t="shared" si="4"/>
        <v>0</v>
      </c>
    </row>
    <row r="40" spans="1:15" x14ac:dyDescent="0.2">
      <c r="A40" s="2">
        <f t="shared" si="5"/>
        <v>46246</v>
      </c>
      <c r="B40" s="3"/>
      <c r="C40" s="24"/>
      <c r="D40" s="19"/>
      <c r="E40" s="25"/>
      <c r="F40" s="19"/>
      <c r="G40" s="25"/>
      <c r="H40" s="12">
        <f t="shared" si="0"/>
        <v>1</v>
      </c>
      <c r="I40" s="12">
        <f t="shared" si="1"/>
        <v>0</v>
      </c>
      <c r="J40" s="12">
        <f>IF(AND($H40=1,$B40&lt;&gt;"",ISNUMBER($C40)),IF(((('Lucy Levene'!B40=$B40)*ISNUMBER('Lucy Levene'!C40)*(ABS('Lucy Levene'!C40-$C40)&lt;VisitHrs/24)+('Lucy Levene'!D40=$B40)*ISNUMBER('Lucy Levene'!E40)*(ABS('Lucy Levene'!E40-$C40)&lt;VisitHrs/24)+('Lucy Levene'!F40=$B40)*ISNUMBER('Lucy Levene'!G40)*(ABS('Lucy Levene'!G40-$C40)&lt;VisitHrs/24)+('Tom Bock'!B40=$B40)*ISNUMBER('Tom Bock'!C40)*(ABS('Tom Bock'!C40-$C40)&lt;VisitHrs/24)+('Tom Bock'!D40=$B40)*ISNUMBER('Tom Bock'!E40)*(ABS('Tom Bock'!E40-$C40)&lt;VisitHrs/24)+('Tom Bock'!F40=$B40)*ISNUMBER('Tom Bock'!G40)*(ABS('Tom Bock'!G40-$C40)&lt;VisitHrs/24)+(Jeremy!B40=$B40)*ISNUMBER(Jeremy!C40)*(ABS(Jeremy!C40-$C40)&lt;VisitHrs/24)+(Jeremy!D40=$B40)*ISNUMBER(Jeremy!E40)*(ABS(Jeremy!E40-$C40)&lt;VisitHrs/24)+(Jeremy!F40=$B40)*ISNUMBER(Jeremy!G40)*(ABS(Jeremy!G40-$C40)&lt;VisitHrs/24)+('Test Patient'!B40=$B40)*ISNUMBER('Test Patient'!C40)*(ABS('Test Patient'!C40-$C40)&lt;VisitHrs/24)+('Test Patient'!D40=$B40)*ISNUMBER('Test Patient'!E40)*(ABS('Test Patient'!E40-$C40)&lt;VisitHrs/24)+('Test Patient'!F40=$B40)*ISNUMBER('Test Patient'!G40)*(ABS('Test Patient'!G40-$C40)&lt;VisitHrs/24))-1)+('Anita Klesch'!$B40=$B40)*($C40&lt;DayEnd)*($C40+VisitHrs/24&gt;DayStart)+('Anita Klesch'!$C40=$B40)*((($C40+VisitHrs/24&gt;DayEnd)+($C40&lt;DayStart))&gt;0)+('Test Patient 2'!$B40=$B40)*($C40&lt;DayEnd)*($C40+VisitHrs/24&gt;DayStart)+('Test Patient 2'!$C40=$B40)*((($C40+VisitHrs/24&gt;DayEnd)+($C40&lt;DayStart))&gt;0)&gt;=1,1,0),0)</f>
        <v>0</v>
      </c>
      <c r="K40" s="12">
        <f>IF(AND($H40=1,$D40&lt;&gt;"",ISNUMBER($E40)),IF(((('Lucy Levene'!B40=$D40)*ISNUMBER('Lucy Levene'!C40)*(ABS('Lucy Levene'!C40-$E40)&lt;VisitHrs/24)+('Lucy Levene'!D40=$D40)*ISNUMBER('Lucy Levene'!E40)*(ABS('Lucy Levene'!E40-$E40)&lt;VisitHrs/24)+('Lucy Levene'!F40=$D40)*ISNUMBER('Lucy Levene'!G40)*(ABS('Lucy Levene'!G40-$E40)&lt;VisitHrs/24)+('Tom Bock'!B40=$D40)*ISNUMBER('Tom Bock'!C40)*(ABS('Tom Bock'!C40-$E40)&lt;VisitHrs/24)+('Tom Bock'!D40=$D40)*ISNUMBER('Tom Bock'!E40)*(ABS('Tom Bock'!E40-$E40)&lt;VisitHrs/24)+('Tom Bock'!F40=$D40)*ISNUMBER('Tom Bock'!G40)*(ABS('Tom Bock'!G40-$E40)&lt;VisitHrs/24)+(Jeremy!B40=$D40)*ISNUMBER(Jeremy!C40)*(ABS(Jeremy!C40-$E40)&lt;VisitHrs/24)+(Jeremy!D40=$D40)*ISNUMBER(Jeremy!E40)*(ABS(Jeremy!E40-$E40)&lt;VisitHrs/24)+(Jeremy!F40=$D40)*ISNUMBER(Jeremy!G40)*(ABS(Jeremy!G40-$E40)&lt;VisitHrs/24)+('Test Patient'!B40=$D40)*ISNUMBER('Test Patient'!C40)*(ABS('Test Patient'!C40-$E40)&lt;VisitHrs/24)+('Test Patient'!D40=$D40)*ISNUMBER('Test Patient'!E40)*(ABS('Test Patient'!E40-$E40)&lt;VisitHrs/24)+('Test Patient'!F40=$D40)*ISNUMBER('Test Patient'!G40)*(ABS('Test Patient'!G40-$E40)&lt;VisitHrs/24))-1)+('Anita Klesch'!$B40=$D40)*($E40&lt;DayEnd)*($E40+VisitHrs/24&gt;DayStart)+('Anita Klesch'!$C40=$D40)*((($E40+VisitHrs/24&gt;DayEnd)+($E40&lt;DayStart))&gt;0)+('Test Patient 2'!$B40=$D40)*($E40&lt;DayEnd)*($E40+VisitHrs/24&gt;DayStart)+('Test Patient 2'!$C40=$D40)*((($E40+VisitHrs/24&gt;DayEnd)+($E40&lt;DayStart))&gt;0)&gt;=1,1,0),0)</f>
        <v>0</v>
      </c>
      <c r="L40" s="12">
        <f>IF(AND($H40=1,$F40&lt;&gt;"",ISNUMBER($G40)),IF(((('Lucy Levene'!B40=$F40)*ISNUMBER('Lucy Levene'!C40)*(ABS('Lucy Levene'!C40-$G40)&lt;VisitHrs/24)+('Lucy Levene'!D40=$F40)*ISNUMBER('Lucy Levene'!E40)*(ABS('Lucy Levene'!E40-$G40)&lt;VisitHrs/24)+('Lucy Levene'!F40=$F40)*ISNUMBER('Lucy Levene'!G40)*(ABS('Lucy Levene'!G40-$G40)&lt;VisitHrs/24)+('Tom Bock'!B40=$F40)*ISNUMBER('Tom Bock'!C40)*(ABS('Tom Bock'!C40-$G40)&lt;VisitHrs/24)+('Tom Bock'!D40=$F40)*ISNUMBER('Tom Bock'!E40)*(ABS('Tom Bock'!E40-$G40)&lt;VisitHrs/24)+('Tom Bock'!F40=$F40)*ISNUMBER('Tom Bock'!G40)*(ABS('Tom Bock'!G40-$G40)&lt;VisitHrs/24)+(Jeremy!B40=$F40)*ISNUMBER(Jeremy!C40)*(ABS(Jeremy!C40-$G40)&lt;VisitHrs/24)+(Jeremy!D40=$F40)*ISNUMBER(Jeremy!E40)*(ABS(Jeremy!E40-$G40)&lt;VisitHrs/24)+(Jeremy!F40=$F40)*ISNUMBER(Jeremy!G40)*(ABS(Jeremy!G40-$G40)&lt;VisitHrs/24)+('Test Patient'!B40=$F40)*ISNUMBER('Test Patient'!C40)*(ABS('Test Patient'!C40-$G40)&lt;VisitHrs/24)+('Test Patient'!D40=$F40)*ISNUMBER('Test Patient'!E40)*(ABS('Test Patient'!E40-$G40)&lt;VisitHrs/24)+('Test Patient'!F40=$F40)*ISNUMBER('Test Patient'!G40)*(ABS('Test Patient'!G40-$G40)&lt;VisitHrs/24))-1)+('Anita Klesch'!$B40=$F40)*($G40&lt;DayEnd)*($G40+VisitHrs/24&gt;DayStart)+('Anita Klesch'!$C40=$F40)*((($G40+VisitHrs/24&gt;DayEnd)+($G40&lt;DayStart))&gt;0)+('Test Patient 2'!$B40=$F40)*($G40&lt;DayEnd)*($G40+VisitHrs/24&gt;DayStart)+('Test Patient 2'!$C40=$F40)*((($G40+VisitHrs/24&gt;DayEnd)+($G40&lt;DayStart))&gt;0)&gt;=1,1,0),0)</f>
        <v>0</v>
      </c>
      <c r="M40" s="12">
        <f t="shared" si="2"/>
        <v>0</v>
      </c>
      <c r="N40" s="12">
        <f t="shared" si="3"/>
        <v>0</v>
      </c>
      <c r="O40" s="12">
        <f t="shared" si="4"/>
        <v>0</v>
      </c>
    </row>
    <row r="41" spans="1:15" x14ac:dyDescent="0.2">
      <c r="A41" s="2">
        <f t="shared" si="5"/>
        <v>46247</v>
      </c>
      <c r="B41" s="3"/>
      <c r="C41" s="24"/>
      <c r="D41" s="19"/>
      <c r="E41" s="25"/>
      <c r="F41" s="19"/>
      <c r="G41" s="25"/>
      <c r="H41" s="12">
        <f t="shared" si="0"/>
        <v>1</v>
      </c>
      <c r="I41" s="12">
        <f t="shared" si="1"/>
        <v>0</v>
      </c>
      <c r="J41" s="12">
        <f>IF(AND($H41=1,$B41&lt;&gt;"",ISNUMBER($C41)),IF(((('Lucy Levene'!B41=$B41)*ISNUMBER('Lucy Levene'!C41)*(ABS('Lucy Levene'!C41-$C41)&lt;VisitHrs/24)+('Lucy Levene'!D41=$B41)*ISNUMBER('Lucy Levene'!E41)*(ABS('Lucy Levene'!E41-$C41)&lt;VisitHrs/24)+('Lucy Levene'!F41=$B41)*ISNUMBER('Lucy Levene'!G41)*(ABS('Lucy Levene'!G41-$C41)&lt;VisitHrs/24)+('Tom Bock'!B41=$B41)*ISNUMBER('Tom Bock'!C41)*(ABS('Tom Bock'!C41-$C41)&lt;VisitHrs/24)+('Tom Bock'!D41=$B41)*ISNUMBER('Tom Bock'!E41)*(ABS('Tom Bock'!E41-$C41)&lt;VisitHrs/24)+('Tom Bock'!F41=$B41)*ISNUMBER('Tom Bock'!G41)*(ABS('Tom Bock'!G41-$C41)&lt;VisitHrs/24)+(Jeremy!B41=$B41)*ISNUMBER(Jeremy!C41)*(ABS(Jeremy!C41-$C41)&lt;VisitHrs/24)+(Jeremy!D41=$B41)*ISNUMBER(Jeremy!E41)*(ABS(Jeremy!E41-$C41)&lt;VisitHrs/24)+(Jeremy!F41=$B41)*ISNUMBER(Jeremy!G41)*(ABS(Jeremy!G41-$C41)&lt;VisitHrs/24)+('Test Patient'!B41=$B41)*ISNUMBER('Test Patient'!C41)*(ABS('Test Patient'!C41-$C41)&lt;VisitHrs/24)+('Test Patient'!D41=$B41)*ISNUMBER('Test Patient'!E41)*(ABS('Test Patient'!E41-$C41)&lt;VisitHrs/24)+('Test Patient'!F41=$B41)*ISNUMBER('Test Patient'!G41)*(ABS('Test Patient'!G41-$C41)&lt;VisitHrs/24))-1)+('Anita Klesch'!$B41=$B41)*($C41&lt;DayEnd)*($C41+VisitHrs/24&gt;DayStart)+('Anita Klesch'!$C41=$B41)*((($C41+VisitHrs/24&gt;DayEnd)+($C41&lt;DayStart))&gt;0)+('Test Patient 2'!$B41=$B41)*($C41&lt;DayEnd)*($C41+VisitHrs/24&gt;DayStart)+('Test Patient 2'!$C41=$B41)*((($C41+VisitHrs/24&gt;DayEnd)+($C41&lt;DayStart))&gt;0)&gt;=1,1,0),0)</f>
        <v>0</v>
      </c>
      <c r="K41" s="12">
        <f>IF(AND($H41=1,$D41&lt;&gt;"",ISNUMBER($E41)),IF(((('Lucy Levene'!B41=$D41)*ISNUMBER('Lucy Levene'!C41)*(ABS('Lucy Levene'!C41-$E41)&lt;VisitHrs/24)+('Lucy Levene'!D41=$D41)*ISNUMBER('Lucy Levene'!E41)*(ABS('Lucy Levene'!E41-$E41)&lt;VisitHrs/24)+('Lucy Levene'!F41=$D41)*ISNUMBER('Lucy Levene'!G41)*(ABS('Lucy Levene'!G41-$E41)&lt;VisitHrs/24)+('Tom Bock'!B41=$D41)*ISNUMBER('Tom Bock'!C41)*(ABS('Tom Bock'!C41-$E41)&lt;VisitHrs/24)+('Tom Bock'!D41=$D41)*ISNUMBER('Tom Bock'!E41)*(ABS('Tom Bock'!E41-$E41)&lt;VisitHrs/24)+('Tom Bock'!F41=$D41)*ISNUMBER('Tom Bock'!G41)*(ABS('Tom Bock'!G41-$E41)&lt;VisitHrs/24)+(Jeremy!B41=$D41)*ISNUMBER(Jeremy!C41)*(ABS(Jeremy!C41-$E41)&lt;VisitHrs/24)+(Jeremy!D41=$D41)*ISNUMBER(Jeremy!E41)*(ABS(Jeremy!E41-$E41)&lt;VisitHrs/24)+(Jeremy!F41=$D41)*ISNUMBER(Jeremy!G41)*(ABS(Jeremy!G41-$E41)&lt;VisitHrs/24)+('Test Patient'!B41=$D41)*ISNUMBER('Test Patient'!C41)*(ABS('Test Patient'!C41-$E41)&lt;VisitHrs/24)+('Test Patient'!D41=$D41)*ISNUMBER('Test Patient'!E41)*(ABS('Test Patient'!E41-$E41)&lt;VisitHrs/24)+('Test Patient'!F41=$D41)*ISNUMBER('Test Patient'!G41)*(ABS('Test Patient'!G41-$E41)&lt;VisitHrs/24))-1)+('Anita Klesch'!$B41=$D41)*($E41&lt;DayEnd)*($E41+VisitHrs/24&gt;DayStart)+('Anita Klesch'!$C41=$D41)*((($E41+VisitHrs/24&gt;DayEnd)+($E41&lt;DayStart))&gt;0)+('Test Patient 2'!$B41=$D41)*($E41&lt;DayEnd)*($E41+VisitHrs/24&gt;DayStart)+('Test Patient 2'!$C41=$D41)*((($E41+VisitHrs/24&gt;DayEnd)+($E41&lt;DayStart))&gt;0)&gt;=1,1,0),0)</f>
        <v>0</v>
      </c>
      <c r="L41" s="12">
        <f>IF(AND($H41=1,$F41&lt;&gt;"",ISNUMBER($G41)),IF(((('Lucy Levene'!B41=$F41)*ISNUMBER('Lucy Levene'!C41)*(ABS('Lucy Levene'!C41-$G41)&lt;VisitHrs/24)+('Lucy Levene'!D41=$F41)*ISNUMBER('Lucy Levene'!E41)*(ABS('Lucy Levene'!E41-$G41)&lt;VisitHrs/24)+('Lucy Levene'!F41=$F41)*ISNUMBER('Lucy Levene'!G41)*(ABS('Lucy Levene'!G41-$G41)&lt;VisitHrs/24)+('Tom Bock'!B41=$F41)*ISNUMBER('Tom Bock'!C41)*(ABS('Tom Bock'!C41-$G41)&lt;VisitHrs/24)+('Tom Bock'!D41=$F41)*ISNUMBER('Tom Bock'!E41)*(ABS('Tom Bock'!E41-$G41)&lt;VisitHrs/24)+('Tom Bock'!F41=$F41)*ISNUMBER('Tom Bock'!G41)*(ABS('Tom Bock'!G41-$G41)&lt;VisitHrs/24)+(Jeremy!B41=$F41)*ISNUMBER(Jeremy!C41)*(ABS(Jeremy!C41-$G41)&lt;VisitHrs/24)+(Jeremy!D41=$F41)*ISNUMBER(Jeremy!E41)*(ABS(Jeremy!E41-$G41)&lt;VisitHrs/24)+(Jeremy!F41=$F41)*ISNUMBER(Jeremy!G41)*(ABS(Jeremy!G41-$G41)&lt;VisitHrs/24)+('Test Patient'!B41=$F41)*ISNUMBER('Test Patient'!C41)*(ABS('Test Patient'!C41-$G41)&lt;VisitHrs/24)+('Test Patient'!D41=$F41)*ISNUMBER('Test Patient'!E41)*(ABS('Test Patient'!E41-$G41)&lt;VisitHrs/24)+('Test Patient'!F41=$F41)*ISNUMBER('Test Patient'!G41)*(ABS('Test Patient'!G41-$G41)&lt;VisitHrs/24))-1)+('Anita Klesch'!$B41=$F41)*($G41&lt;DayEnd)*($G41+VisitHrs/24&gt;DayStart)+('Anita Klesch'!$C41=$F41)*((($G41+VisitHrs/24&gt;DayEnd)+($G41&lt;DayStart))&gt;0)+('Test Patient 2'!$B41=$F41)*($G41&lt;DayEnd)*($G41+VisitHrs/24&gt;DayStart)+('Test Patient 2'!$C41=$F41)*((($G41+VisitHrs/24&gt;DayEnd)+($G41&lt;DayStart))&gt;0)&gt;=1,1,0),0)</f>
        <v>0</v>
      </c>
      <c r="M41" s="12">
        <f t="shared" si="2"/>
        <v>0</v>
      </c>
      <c r="N41" s="12">
        <f t="shared" si="3"/>
        <v>0</v>
      </c>
      <c r="O41" s="12">
        <f t="shared" si="4"/>
        <v>0</v>
      </c>
    </row>
    <row r="42" spans="1:15" x14ac:dyDescent="0.2">
      <c r="A42" s="2">
        <f t="shared" si="5"/>
        <v>46248</v>
      </c>
      <c r="B42" s="3"/>
      <c r="C42" s="24"/>
      <c r="D42" s="19"/>
      <c r="E42" s="25"/>
      <c r="F42" s="19"/>
      <c r="G42" s="25"/>
      <c r="H42" s="12">
        <f t="shared" si="0"/>
        <v>1</v>
      </c>
      <c r="I42" s="12">
        <f t="shared" si="1"/>
        <v>0</v>
      </c>
      <c r="J42" s="12">
        <f>IF(AND($H42=1,$B42&lt;&gt;"",ISNUMBER($C42)),IF(((('Lucy Levene'!B42=$B42)*ISNUMBER('Lucy Levene'!C42)*(ABS('Lucy Levene'!C42-$C42)&lt;VisitHrs/24)+('Lucy Levene'!D42=$B42)*ISNUMBER('Lucy Levene'!E42)*(ABS('Lucy Levene'!E42-$C42)&lt;VisitHrs/24)+('Lucy Levene'!F42=$B42)*ISNUMBER('Lucy Levene'!G42)*(ABS('Lucy Levene'!G42-$C42)&lt;VisitHrs/24)+('Tom Bock'!B42=$B42)*ISNUMBER('Tom Bock'!C42)*(ABS('Tom Bock'!C42-$C42)&lt;VisitHrs/24)+('Tom Bock'!D42=$B42)*ISNUMBER('Tom Bock'!E42)*(ABS('Tom Bock'!E42-$C42)&lt;VisitHrs/24)+('Tom Bock'!F42=$B42)*ISNUMBER('Tom Bock'!G42)*(ABS('Tom Bock'!G42-$C42)&lt;VisitHrs/24)+(Jeremy!B42=$B42)*ISNUMBER(Jeremy!C42)*(ABS(Jeremy!C42-$C42)&lt;VisitHrs/24)+(Jeremy!D42=$B42)*ISNUMBER(Jeremy!E42)*(ABS(Jeremy!E42-$C42)&lt;VisitHrs/24)+(Jeremy!F42=$B42)*ISNUMBER(Jeremy!G42)*(ABS(Jeremy!G42-$C42)&lt;VisitHrs/24)+('Test Patient'!B42=$B42)*ISNUMBER('Test Patient'!C42)*(ABS('Test Patient'!C42-$C42)&lt;VisitHrs/24)+('Test Patient'!D42=$B42)*ISNUMBER('Test Patient'!E42)*(ABS('Test Patient'!E42-$C42)&lt;VisitHrs/24)+('Test Patient'!F42=$B42)*ISNUMBER('Test Patient'!G42)*(ABS('Test Patient'!G42-$C42)&lt;VisitHrs/24))-1)+('Anita Klesch'!$B42=$B42)*($C42&lt;DayEnd)*($C42+VisitHrs/24&gt;DayStart)+('Anita Klesch'!$C42=$B42)*((($C42+VisitHrs/24&gt;DayEnd)+($C42&lt;DayStart))&gt;0)+('Test Patient 2'!$B42=$B42)*($C42&lt;DayEnd)*($C42+VisitHrs/24&gt;DayStart)+('Test Patient 2'!$C42=$B42)*((($C42+VisitHrs/24&gt;DayEnd)+($C42&lt;DayStart))&gt;0)&gt;=1,1,0),0)</f>
        <v>0</v>
      </c>
      <c r="K42" s="12">
        <f>IF(AND($H42=1,$D42&lt;&gt;"",ISNUMBER($E42)),IF(((('Lucy Levene'!B42=$D42)*ISNUMBER('Lucy Levene'!C42)*(ABS('Lucy Levene'!C42-$E42)&lt;VisitHrs/24)+('Lucy Levene'!D42=$D42)*ISNUMBER('Lucy Levene'!E42)*(ABS('Lucy Levene'!E42-$E42)&lt;VisitHrs/24)+('Lucy Levene'!F42=$D42)*ISNUMBER('Lucy Levene'!G42)*(ABS('Lucy Levene'!G42-$E42)&lt;VisitHrs/24)+('Tom Bock'!B42=$D42)*ISNUMBER('Tom Bock'!C42)*(ABS('Tom Bock'!C42-$E42)&lt;VisitHrs/24)+('Tom Bock'!D42=$D42)*ISNUMBER('Tom Bock'!E42)*(ABS('Tom Bock'!E42-$E42)&lt;VisitHrs/24)+('Tom Bock'!F42=$D42)*ISNUMBER('Tom Bock'!G42)*(ABS('Tom Bock'!G42-$E42)&lt;VisitHrs/24)+(Jeremy!B42=$D42)*ISNUMBER(Jeremy!C42)*(ABS(Jeremy!C42-$E42)&lt;VisitHrs/24)+(Jeremy!D42=$D42)*ISNUMBER(Jeremy!E42)*(ABS(Jeremy!E42-$E42)&lt;VisitHrs/24)+(Jeremy!F42=$D42)*ISNUMBER(Jeremy!G42)*(ABS(Jeremy!G42-$E42)&lt;VisitHrs/24)+('Test Patient'!B42=$D42)*ISNUMBER('Test Patient'!C42)*(ABS('Test Patient'!C42-$E42)&lt;VisitHrs/24)+('Test Patient'!D42=$D42)*ISNUMBER('Test Patient'!E42)*(ABS('Test Patient'!E42-$E42)&lt;VisitHrs/24)+('Test Patient'!F42=$D42)*ISNUMBER('Test Patient'!G42)*(ABS('Test Patient'!G42-$E42)&lt;VisitHrs/24))-1)+('Anita Klesch'!$B42=$D42)*($E42&lt;DayEnd)*($E42+VisitHrs/24&gt;DayStart)+('Anita Klesch'!$C42=$D42)*((($E42+VisitHrs/24&gt;DayEnd)+($E42&lt;DayStart))&gt;0)+('Test Patient 2'!$B42=$D42)*($E42&lt;DayEnd)*($E42+VisitHrs/24&gt;DayStart)+('Test Patient 2'!$C42=$D42)*((($E42+VisitHrs/24&gt;DayEnd)+($E42&lt;DayStart))&gt;0)&gt;=1,1,0),0)</f>
        <v>0</v>
      </c>
      <c r="L42" s="12">
        <f>IF(AND($H42=1,$F42&lt;&gt;"",ISNUMBER($G42)),IF(((('Lucy Levene'!B42=$F42)*ISNUMBER('Lucy Levene'!C42)*(ABS('Lucy Levene'!C42-$G42)&lt;VisitHrs/24)+('Lucy Levene'!D42=$F42)*ISNUMBER('Lucy Levene'!E42)*(ABS('Lucy Levene'!E42-$G42)&lt;VisitHrs/24)+('Lucy Levene'!F42=$F42)*ISNUMBER('Lucy Levene'!G42)*(ABS('Lucy Levene'!G42-$G42)&lt;VisitHrs/24)+('Tom Bock'!B42=$F42)*ISNUMBER('Tom Bock'!C42)*(ABS('Tom Bock'!C42-$G42)&lt;VisitHrs/24)+('Tom Bock'!D42=$F42)*ISNUMBER('Tom Bock'!E42)*(ABS('Tom Bock'!E42-$G42)&lt;VisitHrs/24)+('Tom Bock'!F42=$F42)*ISNUMBER('Tom Bock'!G42)*(ABS('Tom Bock'!G42-$G42)&lt;VisitHrs/24)+(Jeremy!B42=$F42)*ISNUMBER(Jeremy!C42)*(ABS(Jeremy!C42-$G42)&lt;VisitHrs/24)+(Jeremy!D42=$F42)*ISNUMBER(Jeremy!E42)*(ABS(Jeremy!E42-$G42)&lt;VisitHrs/24)+(Jeremy!F42=$F42)*ISNUMBER(Jeremy!G42)*(ABS(Jeremy!G42-$G42)&lt;VisitHrs/24)+('Test Patient'!B42=$F42)*ISNUMBER('Test Patient'!C42)*(ABS('Test Patient'!C42-$G42)&lt;VisitHrs/24)+('Test Patient'!D42=$F42)*ISNUMBER('Test Patient'!E42)*(ABS('Test Patient'!E42-$G42)&lt;VisitHrs/24)+('Test Patient'!F42=$F42)*ISNUMBER('Test Patient'!G42)*(ABS('Test Patient'!G42-$G42)&lt;VisitHrs/24))-1)+('Anita Klesch'!$B42=$F42)*($G42&lt;DayEnd)*($G42+VisitHrs/24&gt;DayStart)+('Anita Klesch'!$C42=$F42)*((($G42+VisitHrs/24&gt;DayEnd)+($G42&lt;DayStart))&gt;0)+('Test Patient 2'!$B42=$F42)*($G42&lt;DayEnd)*($G42+VisitHrs/24&gt;DayStart)+('Test Patient 2'!$C42=$F42)*((($G42+VisitHrs/24&gt;DayEnd)+($G42&lt;DayStart))&gt;0)&gt;=1,1,0),0)</f>
        <v>0</v>
      </c>
      <c r="M42" s="12">
        <f t="shared" si="2"/>
        <v>0</v>
      </c>
      <c r="N42" s="12">
        <f t="shared" si="3"/>
        <v>0</v>
      </c>
      <c r="O42" s="12">
        <f t="shared" si="4"/>
        <v>0</v>
      </c>
    </row>
  </sheetData>
  <mergeCells count="2">
    <mergeCell ref="A1:C1"/>
    <mergeCell ref="A2:C2"/>
  </mergeCells>
  <conditionalFormatting sqref="A5:A42">
    <cfRule type="expression" dxfId="20" priority="8">
      <formula>WEEKDAY($A5,2)&gt;5</formula>
    </cfRule>
  </conditionalFormatting>
  <conditionalFormatting sqref="A5:G42">
    <cfRule type="expression" dxfId="19" priority="1" stopIfTrue="1">
      <formula>$H5=0</formula>
    </cfRule>
  </conditionalFormatting>
  <conditionalFormatting sqref="B5:B42">
    <cfRule type="expression" dxfId="18" priority="2">
      <formula>$J5=1</formula>
    </cfRule>
  </conditionalFormatting>
  <conditionalFormatting sqref="C5:C42">
    <cfRule type="expression" dxfId="17" priority="5">
      <formula>AND($H5=1,$B5&lt;&gt;"",$C5="")</formula>
    </cfRule>
  </conditionalFormatting>
  <conditionalFormatting sqref="D5:D42">
    <cfRule type="expression" dxfId="16" priority="3">
      <formula>$K5=1</formula>
    </cfRule>
  </conditionalFormatting>
  <conditionalFormatting sqref="E5:E42">
    <cfRule type="expression" dxfId="15" priority="6">
      <formula>AND($H5=1,$D5&lt;&gt;"",$E5="")</formula>
    </cfRule>
  </conditionalFormatting>
  <conditionalFormatting sqref="F5:F42">
    <cfRule type="expression" dxfId="14" priority="4">
      <formula>$L5=1</formula>
    </cfRule>
  </conditionalFormatting>
  <conditionalFormatting sqref="G5:G42">
    <cfRule type="expression" dxfId="13" priority="7">
      <formula>AND($H5=1,$F5&lt;&gt;"",$G5="")</formula>
    </cfRule>
  </conditionalFormatting>
  <dataValidations count="2">
    <dataValidation type="list" allowBlank="1" showInputMessage="1" showErrorMessage="1" sqref="B5:B42 D5:D42 F5:F42" xr:uid="{8C569742-CB63-46F2-A16F-E5B591D412E0}">
      <formula1>StaffList</formula1>
    </dataValidation>
    <dataValidation type="list" errorStyle="information" allowBlank="1" showInputMessage="1" showErrorMessage="1" errorTitle="Custom time" error="Pick a listed time or type an exact time (e.g. 10:15)." sqref="C5:C42 G5:G42 E5:E42" xr:uid="{3E5474D5-F97B-4022-A585-18D083A87402}">
      <formula1>TimeList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9A48-6FD4-437F-93F0-D704958F842F}">
  <sheetPr>
    <tabColor rgb="FF9C5A3C"/>
  </sheetPr>
  <dimension ref="A1:N42"/>
  <sheetViews>
    <sheetView workbookViewId="0">
      <pane ySplit="4" topLeftCell="A9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8.1640625" customWidth="1"/>
    <col min="2" max="3" width="22.83203125" customWidth="1"/>
    <col min="8" max="14" width="9.1640625" outlineLevel="1"/>
  </cols>
  <sheetData>
    <row r="1" spans="1:14" ht="21" x14ac:dyDescent="0.25">
      <c r="A1" s="74" t="s">
        <v>86</v>
      </c>
      <c r="B1" s="40"/>
      <c r="C1" s="40"/>
    </row>
    <row r="2" spans="1:14" x14ac:dyDescent="0.2">
      <c r="A2" s="41" t="s">
        <v>77</v>
      </c>
      <c r="B2" s="40"/>
      <c r="C2" s="40"/>
    </row>
    <row r="4" spans="1:14" x14ac:dyDescent="0.2">
      <c r="A4" s="30" t="s">
        <v>2</v>
      </c>
      <c r="B4" s="30" t="s">
        <v>78</v>
      </c>
      <c r="C4" s="30" t="s">
        <v>79</v>
      </c>
      <c r="H4" s="11" t="s">
        <v>67</v>
      </c>
      <c r="I4" s="11"/>
      <c r="J4" s="11" t="s">
        <v>80</v>
      </c>
      <c r="K4" s="11" t="s">
        <v>81</v>
      </c>
      <c r="L4" s="11"/>
      <c r="M4" s="11" t="s">
        <v>82</v>
      </c>
      <c r="N4" s="11" t="s">
        <v>83</v>
      </c>
    </row>
    <row r="5" spans="1:14" x14ac:dyDescent="0.2">
      <c r="A5" s="2">
        <f>DATE(2026,7,8)</f>
        <v>46211</v>
      </c>
      <c r="B5" s="19"/>
      <c r="C5" s="19"/>
      <c r="H5" s="12">
        <f t="shared" ref="H5:H42" si="0">IF($A5="",0,IF(AND(OR(NOT(ISNUMBER(TP2_Start)),TP2_Start=0,$A5&gt;=TP2_Start),OR(NOT(ISNUMBER(TP2_End)),TP2_End=0,$A5&lt;=TP2_End)),1,0))</f>
        <v>1</v>
      </c>
      <c r="I5" s="12"/>
      <c r="J5" s="12">
        <f>IF(AND($H5=1,$B5&lt;&gt;""),IF((('Lucy Levene'!B5=$B5)*ISNUMBER('Lucy Levene'!C5)*('Lucy Levene'!C5&lt;DayEnd)*('Lucy Levene'!C5+VisitHrs/24&gt;DayStart)+('Lucy Levene'!D5=$B5)*ISNUMBER('Lucy Levene'!E5)*('Lucy Levene'!E5&lt;DayEnd)*('Lucy Levene'!E5+VisitHrs/24&gt;DayStart)+('Lucy Levene'!F5=$B5)*ISNUMBER('Lucy Levene'!G5)*('Lucy Levene'!G5&lt;DayEnd)*('Lucy Levene'!G5+VisitHrs/24&gt;DayStart)+('Tom Bock'!B5=$B5)*ISNUMBER('Tom Bock'!C5)*('Tom Bock'!C5&lt;DayEnd)*('Tom Bock'!C5+VisitHrs/24&gt;DayStart)+('Tom Bock'!D5=$B5)*ISNUMBER('Tom Bock'!E5)*('Tom Bock'!E5&lt;DayEnd)*('Tom Bock'!E5+VisitHrs/24&gt;DayStart)+('Tom Bock'!F5=$B5)*ISNUMBER('Tom Bock'!G5)*('Tom Bock'!G5&lt;DayEnd)*('Tom Bock'!G5+VisitHrs/24&gt;DayStart)+(Jeremy!B5=$B5)*ISNUMBER(Jeremy!C5)*(Jeremy!C5&lt;DayEnd)*(Jeremy!C5+VisitHrs/24&gt;DayStart)+(Jeremy!D5=$B5)*ISNUMBER(Jeremy!E5)*(Jeremy!E5&lt;DayEnd)*(Jeremy!E5+VisitHrs/24&gt;DayStart)+(Jeremy!F5=$B5)*ISNUMBER(Jeremy!G5)*(Jeremy!G5&lt;DayEnd)*(Jeremy!G5+VisitHrs/24&gt;DayStart)+('Test Patient'!B5=$B5)*ISNUMBER('Test Patient'!C5)*('Test Patient'!C5&lt;DayEnd)*('Test Patient'!C5+VisitHrs/24&gt;DayStart)+('Test Patient'!D5=$B5)*ISNUMBER('Test Patient'!E5)*('Test Patient'!E5&lt;DayEnd)*('Test Patient'!E5+VisitHrs/24&gt;DayStart)+('Test Patient'!F5=$B5)*ISNUMBER('Test Patient'!G5)*('Test Patient'!G5&lt;DayEnd)*('Test Patient'!G5+VisitHrs/24&gt;DayStart))+((('Anita Klesch'!$B5=$B5)+('Test Patient 2'!$B5=$B5))-1)+($C5=$B5)*($B5&lt;&gt;"")&gt;=1,1,0),0)</f>
        <v>0</v>
      </c>
      <c r="K5" s="12">
        <f>IF(AND($H5=1,$C5&lt;&gt;""),IF((('Lucy Levene'!B5=$C5)*ISNUMBER('Lucy Levene'!C5)*((('Lucy Levene'!C5+VisitHrs/24&gt;DayEnd)+('Lucy Levene'!C5&lt;DayStart))&gt;0)+('Lucy Levene'!D5=$C5)*ISNUMBER('Lucy Levene'!E5)*((('Lucy Levene'!E5+VisitHrs/24&gt;DayEnd)+('Lucy Levene'!E5&lt;DayStart))&gt;0)+('Lucy Levene'!F5=$C5)*ISNUMBER('Lucy Levene'!G5)*((('Lucy Levene'!G5+VisitHrs/24&gt;DayEnd)+('Lucy Levene'!G5&lt;DayStart))&gt;0)+('Tom Bock'!B5=$C5)*ISNUMBER('Tom Bock'!C5)*((('Tom Bock'!C5+VisitHrs/24&gt;DayEnd)+('Tom Bock'!C5&lt;DayStart))&gt;0)+('Tom Bock'!D5=$C5)*ISNUMBER('Tom Bock'!E5)*((('Tom Bock'!E5+VisitHrs/24&gt;DayEnd)+('Tom Bock'!E5&lt;DayStart))&gt;0)+('Tom Bock'!F5=$C5)*ISNUMBER('Tom Bock'!G5)*((('Tom Bock'!G5+VisitHrs/24&gt;DayEnd)+('Tom Bock'!G5&lt;DayStart))&gt;0)+(Jeremy!B5=$C5)*ISNUMBER(Jeremy!C5)*(((Jeremy!C5+VisitHrs/24&gt;DayEnd)+(Jeremy!C5&lt;DayStart))&gt;0)+(Jeremy!D5=$C5)*ISNUMBER(Jeremy!E5)*(((Jeremy!E5+VisitHrs/24&gt;DayEnd)+(Jeremy!E5&lt;DayStart))&gt;0)+(Jeremy!F5=$C5)*ISNUMBER(Jeremy!G5)*(((Jeremy!G5+VisitHrs/24&gt;DayEnd)+(Jeremy!G5&lt;DayStart))&gt;0)+('Test Patient'!B5=$C5)*ISNUMBER('Test Patient'!C5)*((('Test Patient'!C5+VisitHrs/24&gt;DayEnd)+('Test Patient'!C5&lt;DayStart))&gt;0)+('Test Patient'!D5=$C5)*ISNUMBER('Test Patient'!E5)*((('Test Patient'!E5+VisitHrs/24&gt;DayEnd)+('Test Patient'!E5&lt;DayStart))&gt;0)+('Test Patient'!F5=$C5)*ISNUMBER('Test Patient'!G5)*((('Test Patient'!G5+VisitHrs/24&gt;DayEnd)+('Test Patient'!G5&lt;DayStart))&gt;0))+((('Anita Klesch'!$C5=$C5)+('Test Patient 2'!$C5=$C5))-1)+($B5=$C5)*($C5&lt;&gt;"")&gt;=1,1,0),0)</f>
        <v>0</v>
      </c>
      <c r="L5" s="12"/>
      <c r="M5" s="12">
        <f>IF($H5=1,$B5,"")</f>
        <v>0</v>
      </c>
      <c r="N5" s="12">
        <f>IF($H5=1,$C5,"")</f>
        <v>0</v>
      </c>
    </row>
    <row r="6" spans="1:14" x14ac:dyDescent="0.2">
      <c r="A6" s="2">
        <f>A5+1</f>
        <v>46212</v>
      </c>
      <c r="B6" s="19"/>
      <c r="C6" s="19"/>
      <c r="H6" s="12">
        <f t="shared" si="0"/>
        <v>1</v>
      </c>
      <c r="I6" s="12"/>
      <c r="J6" s="12">
        <f>IF(AND($H6=1,$B6&lt;&gt;""),IF((('Lucy Levene'!B6=$B6)*ISNUMBER('Lucy Levene'!C6)*('Lucy Levene'!C6&lt;DayEnd)*('Lucy Levene'!C6+VisitHrs/24&gt;DayStart)+('Lucy Levene'!D6=$B6)*ISNUMBER('Lucy Levene'!E6)*('Lucy Levene'!E6&lt;DayEnd)*('Lucy Levene'!E6+VisitHrs/24&gt;DayStart)+('Lucy Levene'!F6=$B6)*ISNUMBER('Lucy Levene'!G6)*('Lucy Levene'!G6&lt;DayEnd)*('Lucy Levene'!G6+VisitHrs/24&gt;DayStart)+('Tom Bock'!B6=$B6)*ISNUMBER('Tom Bock'!C6)*('Tom Bock'!C6&lt;DayEnd)*('Tom Bock'!C6+VisitHrs/24&gt;DayStart)+('Tom Bock'!D6=$B6)*ISNUMBER('Tom Bock'!E6)*('Tom Bock'!E6&lt;DayEnd)*('Tom Bock'!E6+VisitHrs/24&gt;DayStart)+('Tom Bock'!F6=$B6)*ISNUMBER('Tom Bock'!G6)*('Tom Bock'!G6&lt;DayEnd)*('Tom Bock'!G6+VisitHrs/24&gt;DayStart)+(Jeremy!B6=$B6)*ISNUMBER(Jeremy!C6)*(Jeremy!C6&lt;DayEnd)*(Jeremy!C6+VisitHrs/24&gt;DayStart)+(Jeremy!D6=$B6)*ISNUMBER(Jeremy!E6)*(Jeremy!E6&lt;DayEnd)*(Jeremy!E6+VisitHrs/24&gt;DayStart)+(Jeremy!F6=$B6)*ISNUMBER(Jeremy!G6)*(Jeremy!G6&lt;DayEnd)*(Jeremy!G6+VisitHrs/24&gt;DayStart)+('Test Patient'!B6=$B6)*ISNUMBER('Test Patient'!C6)*('Test Patient'!C6&lt;DayEnd)*('Test Patient'!C6+VisitHrs/24&gt;DayStart)+('Test Patient'!D6=$B6)*ISNUMBER('Test Patient'!E6)*('Test Patient'!E6&lt;DayEnd)*('Test Patient'!E6+VisitHrs/24&gt;DayStart)+('Test Patient'!F6=$B6)*ISNUMBER('Test Patient'!G6)*('Test Patient'!G6&lt;DayEnd)*('Test Patient'!G6+VisitHrs/24&gt;DayStart))+((('Anita Klesch'!$B6=$B6)+('Test Patient 2'!$B6=$B6))-1)+($C6=$B6)*($B6&lt;&gt;"")&gt;=1,1,0),0)</f>
        <v>0</v>
      </c>
      <c r="K6" s="12">
        <f>IF(AND($H6=1,$C6&lt;&gt;""),IF((('Lucy Levene'!B6=$C6)*ISNUMBER('Lucy Levene'!C6)*((('Lucy Levene'!C6+VisitHrs/24&gt;DayEnd)+('Lucy Levene'!C6&lt;DayStart))&gt;0)+('Lucy Levene'!D6=$C6)*ISNUMBER('Lucy Levene'!E6)*((('Lucy Levene'!E6+VisitHrs/24&gt;DayEnd)+('Lucy Levene'!E6&lt;DayStart))&gt;0)+('Lucy Levene'!F6=$C6)*ISNUMBER('Lucy Levene'!G6)*((('Lucy Levene'!G6+VisitHrs/24&gt;DayEnd)+('Lucy Levene'!G6&lt;DayStart))&gt;0)+('Tom Bock'!B6=$C6)*ISNUMBER('Tom Bock'!C6)*((('Tom Bock'!C6+VisitHrs/24&gt;DayEnd)+('Tom Bock'!C6&lt;DayStart))&gt;0)+('Tom Bock'!D6=$C6)*ISNUMBER('Tom Bock'!E6)*((('Tom Bock'!E6+VisitHrs/24&gt;DayEnd)+('Tom Bock'!E6&lt;DayStart))&gt;0)+('Tom Bock'!F6=$C6)*ISNUMBER('Tom Bock'!G6)*((('Tom Bock'!G6+VisitHrs/24&gt;DayEnd)+('Tom Bock'!G6&lt;DayStart))&gt;0)+(Jeremy!B6=$C6)*ISNUMBER(Jeremy!C6)*(((Jeremy!C6+VisitHrs/24&gt;DayEnd)+(Jeremy!C6&lt;DayStart))&gt;0)+(Jeremy!D6=$C6)*ISNUMBER(Jeremy!E6)*(((Jeremy!E6+VisitHrs/24&gt;DayEnd)+(Jeremy!E6&lt;DayStart))&gt;0)+(Jeremy!F6=$C6)*ISNUMBER(Jeremy!G6)*(((Jeremy!G6+VisitHrs/24&gt;DayEnd)+(Jeremy!G6&lt;DayStart))&gt;0)+('Test Patient'!B6=$C6)*ISNUMBER('Test Patient'!C6)*((('Test Patient'!C6+VisitHrs/24&gt;DayEnd)+('Test Patient'!C6&lt;DayStart))&gt;0)+('Test Patient'!D6=$C6)*ISNUMBER('Test Patient'!E6)*((('Test Patient'!E6+VisitHrs/24&gt;DayEnd)+('Test Patient'!E6&lt;DayStart))&gt;0)+('Test Patient'!F6=$C6)*ISNUMBER('Test Patient'!G6)*((('Test Patient'!G6+VisitHrs/24&gt;DayEnd)+('Test Patient'!G6&lt;DayStart))&gt;0))+((('Anita Klesch'!$C6=$C6)+('Test Patient 2'!$C6=$C6))-1)+($B6=$C6)*($C6&lt;&gt;"")&gt;=1,1,0),0)</f>
        <v>0</v>
      </c>
      <c r="L6" s="12"/>
      <c r="M6" s="12">
        <f t="shared" ref="M6:M42" si="1">IF($H6=1,$B6,"")</f>
        <v>0</v>
      </c>
      <c r="N6" s="12">
        <f t="shared" ref="N6:N42" si="2">IF($H6=1,$C6,"")</f>
        <v>0</v>
      </c>
    </row>
    <row r="7" spans="1:14" x14ac:dyDescent="0.2">
      <c r="A7" s="2">
        <f t="shared" ref="A7:A42" si="3">A6+1</f>
        <v>46213</v>
      </c>
      <c r="B7" s="19"/>
      <c r="C7" s="19"/>
      <c r="H7" s="12">
        <f t="shared" si="0"/>
        <v>1</v>
      </c>
      <c r="I7" s="12"/>
      <c r="J7" s="12">
        <f>IF(AND($H7=1,$B7&lt;&gt;""),IF((('Lucy Levene'!B7=$B7)*ISNUMBER('Lucy Levene'!C7)*('Lucy Levene'!C7&lt;DayEnd)*('Lucy Levene'!C7+VisitHrs/24&gt;DayStart)+('Lucy Levene'!D7=$B7)*ISNUMBER('Lucy Levene'!E7)*('Lucy Levene'!E7&lt;DayEnd)*('Lucy Levene'!E7+VisitHrs/24&gt;DayStart)+('Lucy Levene'!F7=$B7)*ISNUMBER('Lucy Levene'!G7)*('Lucy Levene'!G7&lt;DayEnd)*('Lucy Levene'!G7+VisitHrs/24&gt;DayStart)+('Tom Bock'!B7=$B7)*ISNUMBER('Tom Bock'!C7)*('Tom Bock'!C7&lt;DayEnd)*('Tom Bock'!C7+VisitHrs/24&gt;DayStart)+('Tom Bock'!D7=$B7)*ISNUMBER('Tom Bock'!E7)*('Tom Bock'!E7&lt;DayEnd)*('Tom Bock'!E7+VisitHrs/24&gt;DayStart)+('Tom Bock'!F7=$B7)*ISNUMBER('Tom Bock'!G7)*('Tom Bock'!G7&lt;DayEnd)*('Tom Bock'!G7+VisitHrs/24&gt;DayStart)+(Jeremy!B7=$B7)*ISNUMBER(Jeremy!C7)*(Jeremy!C7&lt;DayEnd)*(Jeremy!C7+VisitHrs/24&gt;DayStart)+(Jeremy!D7=$B7)*ISNUMBER(Jeremy!E7)*(Jeremy!E7&lt;DayEnd)*(Jeremy!E7+VisitHrs/24&gt;DayStart)+(Jeremy!F7=$B7)*ISNUMBER(Jeremy!G7)*(Jeremy!G7&lt;DayEnd)*(Jeremy!G7+VisitHrs/24&gt;DayStart)+('Test Patient'!B7=$B7)*ISNUMBER('Test Patient'!C7)*('Test Patient'!C7&lt;DayEnd)*('Test Patient'!C7+VisitHrs/24&gt;DayStart)+('Test Patient'!D7=$B7)*ISNUMBER('Test Patient'!E7)*('Test Patient'!E7&lt;DayEnd)*('Test Patient'!E7+VisitHrs/24&gt;DayStart)+('Test Patient'!F7=$B7)*ISNUMBER('Test Patient'!G7)*('Test Patient'!G7&lt;DayEnd)*('Test Patient'!G7+VisitHrs/24&gt;DayStart))+((('Anita Klesch'!$B7=$B7)+('Test Patient 2'!$B7=$B7))-1)+($C7=$B7)*($B7&lt;&gt;"")&gt;=1,1,0),0)</f>
        <v>0</v>
      </c>
      <c r="K7" s="12">
        <f>IF(AND($H7=1,$C7&lt;&gt;""),IF((('Lucy Levene'!B7=$C7)*ISNUMBER('Lucy Levene'!C7)*((('Lucy Levene'!C7+VisitHrs/24&gt;DayEnd)+('Lucy Levene'!C7&lt;DayStart))&gt;0)+('Lucy Levene'!D7=$C7)*ISNUMBER('Lucy Levene'!E7)*((('Lucy Levene'!E7+VisitHrs/24&gt;DayEnd)+('Lucy Levene'!E7&lt;DayStart))&gt;0)+('Lucy Levene'!F7=$C7)*ISNUMBER('Lucy Levene'!G7)*((('Lucy Levene'!G7+VisitHrs/24&gt;DayEnd)+('Lucy Levene'!G7&lt;DayStart))&gt;0)+('Tom Bock'!B7=$C7)*ISNUMBER('Tom Bock'!C7)*((('Tom Bock'!C7+VisitHrs/24&gt;DayEnd)+('Tom Bock'!C7&lt;DayStart))&gt;0)+('Tom Bock'!D7=$C7)*ISNUMBER('Tom Bock'!E7)*((('Tom Bock'!E7+VisitHrs/24&gt;DayEnd)+('Tom Bock'!E7&lt;DayStart))&gt;0)+('Tom Bock'!F7=$C7)*ISNUMBER('Tom Bock'!G7)*((('Tom Bock'!G7+VisitHrs/24&gt;DayEnd)+('Tom Bock'!G7&lt;DayStart))&gt;0)+(Jeremy!B7=$C7)*ISNUMBER(Jeremy!C7)*(((Jeremy!C7+VisitHrs/24&gt;DayEnd)+(Jeremy!C7&lt;DayStart))&gt;0)+(Jeremy!D7=$C7)*ISNUMBER(Jeremy!E7)*(((Jeremy!E7+VisitHrs/24&gt;DayEnd)+(Jeremy!E7&lt;DayStart))&gt;0)+(Jeremy!F7=$C7)*ISNUMBER(Jeremy!G7)*(((Jeremy!G7+VisitHrs/24&gt;DayEnd)+(Jeremy!G7&lt;DayStart))&gt;0)+('Test Patient'!B7=$C7)*ISNUMBER('Test Patient'!C7)*((('Test Patient'!C7+VisitHrs/24&gt;DayEnd)+('Test Patient'!C7&lt;DayStart))&gt;0)+('Test Patient'!D7=$C7)*ISNUMBER('Test Patient'!E7)*((('Test Patient'!E7+VisitHrs/24&gt;DayEnd)+('Test Patient'!E7&lt;DayStart))&gt;0)+('Test Patient'!F7=$C7)*ISNUMBER('Test Patient'!G7)*((('Test Patient'!G7+VisitHrs/24&gt;DayEnd)+('Test Patient'!G7&lt;DayStart))&gt;0))+((('Anita Klesch'!$C7=$C7)+('Test Patient 2'!$C7=$C7))-1)+($B7=$C7)*($C7&lt;&gt;"")&gt;=1,1,0),0)</f>
        <v>0</v>
      </c>
      <c r="L7" s="12"/>
      <c r="M7" s="12">
        <f t="shared" si="1"/>
        <v>0</v>
      </c>
      <c r="N7" s="12">
        <f t="shared" si="2"/>
        <v>0</v>
      </c>
    </row>
    <row r="8" spans="1:14" x14ac:dyDescent="0.2">
      <c r="A8" s="2">
        <f t="shared" si="3"/>
        <v>46214</v>
      </c>
      <c r="B8" s="19"/>
      <c r="C8" s="19"/>
      <c r="H8" s="12">
        <f t="shared" si="0"/>
        <v>1</v>
      </c>
      <c r="I8" s="12"/>
      <c r="J8" s="12">
        <f>IF(AND($H8=1,$B8&lt;&gt;""),IF((('Lucy Levene'!B8=$B8)*ISNUMBER('Lucy Levene'!C8)*('Lucy Levene'!C8&lt;DayEnd)*('Lucy Levene'!C8+VisitHrs/24&gt;DayStart)+('Lucy Levene'!D8=$B8)*ISNUMBER('Lucy Levene'!E8)*('Lucy Levene'!E8&lt;DayEnd)*('Lucy Levene'!E8+VisitHrs/24&gt;DayStart)+('Lucy Levene'!F8=$B8)*ISNUMBER('Lucy Levene'!G8)*('Lucy Levene'!G8&lt;DayEnd)*('Lucy Levene'!G8+VisitHrs/24&gt;DayStart)+('Tom Bock'!B8=$B8)*ISNUMBER('Tom Bock'!C8)*('Tom Bock'!C8&lt;DayEnd)*('Tom Bock'!C8+VisitHrs/24&gt;DayStart)+('Tom Bock'!D8=$B8)*ISNUMBER('Tom Bock'!E8)*('Tom Bock'!E8&lt;DayEnd)*('Tom Bock'!E8+VisitHrs/24&gt;DayStart)+('Tom Bock'!F8=$B8)*ISNUMBER('Tom Bock'!G8)*('Tom Bock'!G8&lt;DayEnd)*('Tom Bock'!G8+VisitHrs/24&gt;DayStart)+(Jeremy!B8=$B8)*ISNUMBER(Jeremy!C8)*(Jeremy!C8&lt;DayEnd)*(Jeremy!C8+VisitHrs/24&gt;DayStart)+(Jeremy!D8=$B8)*ISNUMBER(Jeremy!E8)*(Jeremy!E8&lt;DayEnd)*(Jeremy!E8+VisitHrs/24&gt;DayStart)+(Jeremy!F8=$B8)*ISNUMBER(Jeremy!G8)*(Jeremy!G8&lt;DayEnd)*(Jeremy!G8+VisitHrs/24&gt;DayStart)+('Test Patient'!B8=$B8)*ISNUMBER('Test Patient'!C8)*('Test Patient'!C8&lt;DayEnd)*('Test Patient'!C8+VisitHrs/24&gt;DayStart)+('Test Patient'!D8=$B8)*ISNUMBER('Test Patient'!E8)*('Test Patient'!E8&lt;DayEnd)*('Test Patient'!E8+VisitHrs/24&gt;DayStart)+('Test Patient'!F8=$B8)*ISNUMBER('Test Patient'!G8)*('Test Patient'!G8&lt;DayEnd)*('Test Patient'!G8+VisitHrs/24&gt;DayStart))+((('Anita Klesch'!$B8=$B8)+('Test Patient 2'!$B8=$B8))-1)+($C8=$B8)*($B8&lt;&gt;"")&gt;=1,1,0),0)</f>
        <v>0</v>
      </c>
      <c r="K8" s="12">
        <f>IF(AND($H8=1,$C8&lt;&gt;""),IF((('Lucy Levene'!B8=$C8)*ISNUMBER('Lucy Levene'!C8)*((('Lucy Levene'!C8+VisitHrs/24&gt;DayEnd)+('Lucy Levene'!C8&lt;DayStart))&gt;0)+('Lucy Levene'!D8=$C8)*ISNUMBER('Lucy Levene'!E8)*((('Lucy Levene'!E8+VisitHrs/24&gt;DayEnd)+('Lucy Levene'!E8&lt;DayStart))&gt;0)+('Lucy Levene'!F8=$C8)*ISNUMBER('Lucy Levene'!G8)*((('Lucy Levene'!G8+VisitHrs/24&gt;DayEnd)+('Lucy Levene'!G8&lt;DayStart))&gt;0)+('Tom Bock'!B8=$C8)*ISNUMBER('Tom Bock'!C8)*((('Tom Bock'!C8+VisitHrs/24&gt;DayEnd)+('Tom Bock'!C8&lt;DayStart))&gt;0)+('Tom Bock'!D8=$C8)*ISNUMBER('Tom Bock'!E8)*((('Tom Bock'!E8+VisitHrs/24&gt;DayEnd)+('Tom Bock'!E8&lt;DayStart))&gt;0)+('Tom Bock'!F8=$C8)*ISNUMBER('Tom Bock'!G8)*((('Tom Bock'!G8+VisitHrs/24&gt;DayEnd)+('Tom Bock'!G8&lt;DayStart))&gt;0)+(Jeremy!B8=$C8)*ISNUMBER(Jeremy!C8)*(((Jeremy!C8+VisitHrs/24&gt;DayEnd)+(Jeremy!C8&lt;DayStart))&gt;0)+(Jeremy!D8=$C8)*ISNUMBER(Jeremy!E8)*(((Jeremy!E8+VisitHrs/24&gt;DayEnd)+(Jeremy!E8&lt;DayStart))&gt;0)+(Jeremy!F8=$C8)*ISNUMBER(Jeremy!G8)*(((Jeremy!G8+VisitHrs/24&gt;DayEnd)+(Jeremy!G8&lt;DayStart))&gt;0)+('Test Patient'!B8=$C8)*ISNUMBER('Test Patient'!C8)*((('Test Patient'!C8+VisitHrs/24&gt;DayEnd)+('Test Patient'!C8&lt;DayStart))&gt;0)+('Test Patient'!D8=$C8)*ISNUMBER('Test Patient'!E8)*((('Test Patient'!E8+VisitHrs/24&gt;DayEnd)+('Test Patient'!E8&lt;DayStart))&gt;0)+('Test Patient'!F8=$C8)*ISNUMBER('Test Patient'!G8)*((('Test Patient'!G8+VisitHrs/24&gt;DayEnd)+('Test Patient'!G8&lt;DayStart))&gt;0))+((('Anita Klesch'!$C8=$C8)+('Test Patient 2'!$C8=$C8))-1)+($B8=$C8)*($C8&lt;&gt;"")&gt;=1,1,0),0)</f>
        <v>0</v>
      </c>
      <c r="L8" s="12"/>
      <c r="M8" s="12">
        <f t="shared" si="1"/>
        <v>0</v>
      </c>
      <c r="N8" s="12">
        <f t="shared" si="2"/>
        <v>0</v>
      </c>
    </row>
    <row r="9" spans="1:14" x14ac:dyDescent="0.2">
      <c r="A9" s="2">
        <f t="shared" si="3"/>
        <v>46215</v>
      </c>
      <c r="B9" s="19"/>
      <c r="C9" s="19"/>
      <c r="H9" s="12">
        <f t="shared" si="0"/>
        <v>1</v>
      </c>
      <c r="I9" s="12"/>
      <c r="J9" s="12">
        <f>IF(AND($H9=1,$B9&lt;&gt;""),IF((('Lucy Levene'!B9=$B9)*ISNUMBER('Lucy Levene'!C9)*('Lucy Levene'!C9&lt;DayEnd)*('Lucy Levene'!C9+VisitHrs/24&gt;DayStart)+('Lucy Levene'!D9=$B9)*ISNUMBER('Lucy Levene'!E9)*('Lucy Levene'!E9&lt;DayEnd)*('Lucy Levene'!E9+VisitHrs/24&gt;DayStart)+('Lucy Levene'!F9=$B9)*ISNUMBER('Lucy Levene'!G9)*('Lucy Levene'!G9&lt;DayEnd)*('Lucy Levene'!G9+VisitHrs/24&gt;DayStart)+('Tom Bock'!B9=$B9)*ISNUMBER('Tom Bock'!C9)*('Tom Bock'!C9&lt;DayEnd)*('Tom Bock'!C9+VisitHrs/24&gt;DayStart)+('Tom Bock'!D9=$B9)*ISNUMBER('Tom Bock'!E9)*('Tom Bock'!E9&lt;DayEnd)*('Tom Bock'!E9+VisitHrs/24&gt;DayStart)+('Tom Bock'!F9=$B9)*ISNUMBER('Tom Bock'!G9)*('Tom Bock'!G9&lt;DayEnd)*('Tom Bock'!G9+VisitHrs/24&gt;DayStart)+(Jeremy!B9=$B9)*ISNUMBER(Jeremy!C9)*(Jeremy!C9&lt;DayEnd)*(Jeremy!C9+VisitHrs/24&gt;DayStart)+(Jeremy!D9=$B9)*ISNUMBER(Jeremy!E9)*(Jeremy!E9&lt;DayEnd)*(Jeremy!E9+VisitHrs/24&gt;DayStart)+(Jeremy!F9=$B9)*ISNUMBER(Jeremy!G9)*(Jeremy!G9&lt;DayEnd)*(Jeremy!G9+VisitHrs/24&gt;DayStart)+('Test Patient'!B9=$B9)*ISNUMBER('Test Patient'!C9)*('Test Patient'!C9&lt;DayEnd)*('Test Patient'!C9+VisitHrs/24&gt;DayStart)+('Test Patient'!D9=$B9)*ISNUMBER('Test Patient'!E9)*('Test Patient'!E9&lt;DayEnd)*('Test Patient'!E9+VisitHrs/24&gt;DayStart)+('Test Patient'!F9=$B9)*ISNUMBER('Test Patient'!G9)*('Test Patient'!G9&lt;DayEnd)*('Test Patient'!G9+VisitHrs/24&gt;DayStart))+((('Anita Klesch'!$B9=$B9)+('Test Patient 2'!$B9=$B9))-1)+($C9=$B9)*($B9&lt;&gt;"")&gt;=1,1,0),0)</f>
        <v>0</v>
      </c>
      <c r="K9" s="12">
        <f>IF(AND($H9=1,$C9&lt;&gt;""),IF((('Lucy Levene'!B9=$C9)*ISNUMBER('Lucy Levene'!C9)*((('Lucy Levene'!C9+VisitHrs/24&gt;DayEnd)+('Lucy Levene'!C9&lt;DayStart))&gt;0)+('Lucy Levene'!D9=$C9)*ISNUMBER('Lucy Levene'!E9)*((('Lucy Levene'!E9+VisitHrs/24&gt;DayEnd)+('Lucy Levene'!E9&lt;DayStart))&gt;0)+('Lucy Levene'!F9=$C9)*ISNUMBER('Lucy Levene'!G9)*((('Lucy Levene'!G9+VisitHrs/24&gt;DayEnd)+('Lucy Levene'!G9&lt;DayStart))&gt;0)+('Tom Bock'!B9=$C9)*ISNUMBER('Tom Bock'!C9)*((('Tom Bock'!C9+VisitHrs/24&gt;DayEnd)+('Tom Bock'!C9&lt;DayStart))&gt;0)+('Tom Bock'!D9=$C9)*ISNUMBER('Tom Bock'!E9)*((('Tom Bock'!E9+VisitHrs/24&gt;DayEnd)+('Tom Bock'!E9&lt;DayStart))&gt;0)+('Tom Bock'!F9=$C9)*ISNUMBER('Tom Bock'!G9)*((('Tom Bock'!G9+VisitHrs/24&gt;DayEnd)+('Tom Bock'!G9&lt;DayStart))&gt;0)+(Jeremy!B9=$C9)*ISNUMBER(Jeremy!C9)*(((Jeremy!C9+VisitHrs/24&gt;DayEnd)+(Jeremy!C9&lt;DayStart))&gt;0)+(Jeremy!D9=$C9)*ISNUMBER(Jeremy!E9)*(((Jeremy!E9+VisitHrs/24&gt;DayEnd)+(Jeremy!E9&lt;DayStart))&gt;0)+(Jeremy!F9=$C9)*ISNUMBER(Jeremy!G9)*(((Jeremy!G9+VisitHrs/24&gt;DayEnd)+(Jeremy!G9&lt;DayStart))&gt;0)+('Test Patient'!B9=$C9)*ISNUMBER('Test Patient'!C9)*((('Test Patient'!C9+VisitHrs/24&gt;DayEnd)+('Test Patient'!C9&lt;DayStart))&gt;0)+('Test Patient'!D9=$C9)*ISNUMBER('Test Patient'!E9)*((('Test Patient'!E9+VisitHrs/24&gt;DayEnd)+('Test Patient'!E9&lt;DayStart))&gt;0)+('Test Patient'!F9=$C9)*ISNUMBER('Test Patient'!G9)*((('Test Patient'!G9+VisitHrs/24&gt;DayEnd)+('Test Patient'!G9&lt;DayStart))&gt;0))+((('Anita Klesch'!$C9=$C9)+('Test Patient 2'!$C9=$C9))-1)+($B9=$C9)*($C9&lt;&gt;"")&gt;=1,1,0),0)</f>
        <v>0</v>
      </c>
      <c r="L9" s="12"/>
      <c r="M9" s="12">
        <f t="shared" si="1"/>
        <v>0</v>
      </c>
      <c r="N9" s="12">
        <f t="shared" si="2"/>
        <v>0</v>
      </c>
    </row>
    <row r="10" spans="1:14" x14ac:dyDescent="0.2">
      <c r="A10" s="2">
        <f t="shared" si="3"/>
        <v>46216</v>
      </c>
      <c r="B10" s="19"/>
      <c r="C10" s="19"/>
      <c r="H10" s="12">
        <f t="shared" si="0"/>
        <v>1</v>
      </c>
      <c r="I10" s="12"/>
      <c r="J10" s="12">
        <f>IF(AND($H10=1,$B10&lt;&gt;""),IF((('Lucy Levene'!B10=$B10)*ISNUMBER('Lucy Levene'!C10)*('Lucy Levene'!C10&lt;DayEnd)*('Lucy Levene'!C10+VisitHrs/24&gt;DayStart)+('Lucy Levene'!D10=$B10)*ISNUMBER('Lucy Levene'!E10)*('Lucy Levene'!E10&lt;DayEnd)*('Lucy Levene'!E10+VisitHrs/24&gt;DayStart)+('Lucy Levene'!F10=$B10)*ISNUMBER('Lucy Levene'!G10)*('Lucy Levene'!G10&lt;DayEnd)*('Lucy Levene'!G10+VisitHrs/24&gt;DayStart)+('Tom Bock'!B10=$B10)*ISNUMBER('Tom Bock'!C10)*('Tom Bock'!C10&lt;DayEnd)*('Tom Bock'!C10+VisitHrs/24&gt;DayStart)+('Tom Bock'!D10=$B10)*ISNUMBER('Tom Bock'!E10)*('Tom Bock'!E10&lt;DayEnd)*('Tom Bock'!E10+VisitHrs/24&gt;DayStart)+('Tom Bock'!F10=$B10)*ISNUMBER('Tom Bock'!G10)*('Tom Bock'!G10&lt;DayEnd)*('Tom Bock'!G10+VisitHrs/24&gt;DayStart)+(Jeremy!B10=$B10)*ISNUMBER(Jeremy!C10)*(Jeremy!C10&lt;DayEnd)*(Jeremy!C10+VisitHrs/24&gt;DayStart)+(Jeremy!D10=$B10)*ISNUMBER(Jeremy!E10)*(Jeremy!E10&lt;DayEnd)*(Jeremy!E10+VisitHrs/24&gt;DayStart)+(Jeremy!F10=$B10)*ISNUMBER(Jeremy!G10)*(Jeremy!G10&lt;DayEnd)*(Jeremy!G10+VisitHrs/24&gt;DayStart)+('Test Patient'!B10=$B10)*ISNUMBER('Test Patient'!C10)*('Test Patient'!C10&lt;DayEnd)*('Test Patient'!C10+VisitHrs/24&gt;DayStart)+('Test Patient'!D10=$B10)*ISNUMBER('Test Patient'!E10)*('Test Patient'!E10&lt;DayEnd)*('Test Patient'!E10+VisitHrs/24&gt;DayStart)+('Test Patient'!F10=$B10)*ISNUMBER('Test Patient'!G10)*('Test Patient'!G10&lt;DayEnd)*('Test Patient'!G10+VisitHrs/24&gt;DayStart))+((('Anita Klesch'!$B10=$B10)+('Test Patient 2'!$B10=$B10))-1)+($C10=$B10)*($B10&lt;&gt;"")&gt;=1,1,0),0)</f>
        <v>0</v>
      </c>
      <c r="K10" s="12">
        <f>IF(AND($H10=1,$C10&lt;&gt;""),IF((('Lucy Levene'!B10=$C10)*ISNUMBER('Lucy Levene'!C10)*((('Lucy Levene'!C10+VisitHrs/24&gt;DayEnd)+('Lucy Levene'!C10&lt;DayStart))&gt;0)+('Lucy Levene'!D10=$C10)*ISNUMBER('Lucy Levene'!E10)*((('Lucy Levene'!E10+VisitHrs/24&gt;DayEnd)+('Lucy Levene'!E10&lt;DayStart))&gt;0)+('Lucy Levene'!F10=$C10)*ISNUMBER('Lucy Levene'!G10)*((('Lucy Levene'!G10+VisitHrs/24&gt;DayEnd)+('Lucy Levene'!G10&lt;DayStart))&gt;0)+('Tom Bock'!B10=$C10)*ISNUMBER('Tom Bock'!C10)*((('Tom Bock'!C10+VisitHrs/24&gt;DayEnd)+('Tom Bock'!C10&lt;DayStart))&gt;0)+('Tom Bock'!D10=$C10)*ISNUMBER('Tom Bock'!E10)*((('Tom Bock'!E10+VisitHrs/24&gt;DayEnd)+('Tom Bock'!E10&lt;DayStart))&gt;0)+('Tom Bock'!F10=$C10)*ISNUMBER('Tom Bock'!G10)*((('Tom Bock'!G10+VisitHrs/24&gt;DayEnd)+('Tom Bock'!G10&lt;DayStart))&gt;0)+(Jeremy!B10=$C10)*ISNUMBER(Jeremy!C10)*(((Jeremy!C10+VisitHrs/24&gt;DayEnd)+(Jeremy!C10&lt;DayStart))&gt;0)+(Jeremy!D10=$C10)*ISNUMBER(Jeremy!E10)*(((Jeremy!E10+VisitHrs/24&gt;DayEnd)+(Jeremy!E10&lt;DayStart))&gt;0)+(Jeremy!F10=$C10)*ISNUMBER(Jeremy!G10)*(((Jeremy!G10+VisitHrs/24&gt;DayEnd)+(Jeremy!G10&lt;DayStart))&gt;0)+('Test Patient'!B10=$C10)*ISNUMBER('Test Patient'!C10)*((('Test Patient'!C10+VisitHrs/24&gt;DayEnd)+('Test Patient'!C10&lt;DayStart))&gt;0)+('Test Patient'!D10=$C10)*ISNUMBER('Test Patient'!E10)*((('Test Patient'!E10+VisitHrs/24&gt;DayEnd)+('Test Patient'!E10&lt;DayStart))&gt;0)+('Test Patient'!F10=$C10)*ISNUMBER('Test Patient'!G10)*((('Test Patient'!G10+VisitHrs/24&gt;DayEnd)+('Test Patient'!G10&lt;DayStart))&gt;0))+((('Anita Klesch'!$C10=$C10)+('Test Patient 2'!$C10=$C10))-1)+($B10=$C10)*($C10&lt;&gt;"")&gt;=1,1,0),0)</f>
        <v>0</v>
      </c>
      <c r="L10" s="12"/>
      <c r="M10" s="12">
        <f t="shared" si="1"/>
        <v>0</v>
      </c>
      <c r="N10" s="12">
        <f t="shared" si="2"/>
        <v>0</v>
      </c>
    </row>
    <row r="11" spans="1:14" x14ac:dyDescent="0.2">
      <c r="A11" s="2">
        <f t="shared" si="3"/>
        <v>46217</v>
      </c>
      <c r="B11" s="19"/>
      <c r="C11" s="19"/>
      <c r="H11" s="12">
        <f t="shared" si="0"/>
        <v>1</v>
      </c>
      <c r="I11" s="12"/>
      <c r="J11" s="12">
        <f>IF(AND($H11=1,$B11&lt;&gt;""),IF((('Lucy Levene'!B11=$B11)*ISNUMBER('Lucy Levene'!C11)*('Lucy Levene'!C11&lt;DayEnd)*('Lucy Levene'!C11+VisitHrs/24&gt;DayStart)+('Lucy Levene'!D11=$B11)*ISNUMBER('Lucy Levene'!E11)*('Lucy Levene'!E11&lt;DayEnd)*('Lucy Levene'!E11+VisitHrs/24&gt;DayStart)+('Lucy Levene'!F11=$B11)*ISNUMBER('Lucy Levene'!G11)*('Lucy Levene'!G11&lt;DayEnd)*('Lucy Levene'!G11+VisitHrs/24&gt;DayStart)+('Tom Bock'!B11=$B11)*ISNUMBER('Tom Bock'!C11)*('Tom Bock'!C11&lt;DayEnd)*('Tom Bock'!C11+VisitHrs/24&gt;DayStart)+('Tom Bock'!D11=$B11)*ISNUMBER('Tom Bock'!E11)*('Tom Bock'!E11&lt;DayEnd)*('Tom Bock'!E11+VisitHrs/24&gt;DayStart)+('Tom Bock'!F11=$B11)*ISNUMBER('Tom Bock'!G11)*('Tom Bock'!G11&lt;DayEnd)*('Tom Bock'!G11+VisitHrs/24&gt;DayStart)+(Jeremy!B11=$B11)*ISNUMBER(Jeremy!C11)*(Jeremy!C11&lt;DayEnd)*(Jeremy!C11+VisitHrs/24&gt;DayStart)+(Jeremy!D11=$B11)*ISNUMBER(Jeremy!E11)*(Jeremy!E11&lt;DayEnd)*(Jeremy!E11+VisitHrs/24&gt;DayStart)+(Jeremy!F11=$B11)*ISNUMBER(Jeremy!G11)*(Jeremy!G11&lt;DayEnd)*(Jeremy!G11+VisitHrs/24&gt;DayStart)+('Test Patient'!B11=$B11)*ISNUMBER('Test Patient'!C11)*('Test Patient'!C11&lt;DayEnd)*('Test Patient'!C11+VisitHrs/24&gt;DayStart)+('Test Patient'!D11=$B11)*ISNUMBER('Test Patient'!E11)*('Test Patient'!E11&lt;DayEnd)*('Test Patient'!E11+VisitHrs/24&gt;DayStart)+('Test Patient'!F11=$B11)*ISNUMBER('Test Patient'!G11)*('Test Patient'!G11&lt;DayEnd)*('Test Patient'!G11+VisitHrs/24&gt;DayStart))+((('Anita Klesch'!$B11=$B11)+('Test Patient 2'!$B11=$B11))-1)+($C11=$B11)*($B11&lt;&gt;"")&gt;=1,1,0),0)</f>
        <v>0</v>
      </c>
      <c r="K11" s="12">
        <f>IF(AND($H11=1,$C11&lt;&gt;""),IF((('Lucy Levene'!B11=$C11)*ISNUMBER('Lucy Levene'!C11)*((('Lucy Levene'!C11+VisitHrs/24&gt;DayEnd)+('Lucy Levene'!C11&lt;DayStart))&gt;0)+('Lucy Levene'!D11=$C11)*ISNUMBER('Lucy Levene'!E11)*((('Lucy Levene'!E11+VisitHrs/24&gt;DayEnd)+('Lucy Levene'!E11&lt;DayStart))&gt;0)+('Lucy Levene'!F11=$C11)*ISNUMBER('Lucy Levene'!G11)*((('Lucy Levene'!G11+VisitHrs/24&gt;DayEnd)+('Lucy Levene'!G11&lt;DayStart))&gt;0)+('Tom Bock'!B11=$C11)*ISNUMBER('Tom Bock'!C11)*((('Tom Bock'!C11+VisitHrs/24&gt;DayEnd)+('Tom Bock'!C11&lt;DayStart))&gt;0)+('Tom Bock'!D11=$C11)*ISNUMBER('Tom Bock'!E11)*((('Tom Bock'!E11+VisitHrs/24&gt;DayEnd)+('Tom Bock'!E11&lt;DayStart))&gt;0)+('Tom Bock'!F11=$C11)*ISNUMBER('Tom Bock'!G11)*((('Tom Bock'!G11+VisitHrs/24&gt;DayEnd)+('Tom Bock'!G11&lt;DayStart))&gt;0)+(Jeremy!B11=$C11)*ISNUMBER(Jeremy!C11)*(((Jeremy!C11+VisitHrs/24&gt;DayEnd)+(Jeremy!C11&lt;DayStart))&gt;0)+(Jeremy!D11=$C11)*ISNUMBER(Jeremy!E11)*(((Jeremy!E11+VisitHrs/24&gt;DayEnd)+(Jeremy!E11&lt;DayStart))&gt;0)+(Jeremy!F11=$C11)*ISNUMBER(Jeremy!G11)*(((Jeremy!G11+VisitHrs/24&gt;DayEnd)+(Jeremy!G11&lt;DayStart))&gt;0)+('Test Patient'!B11=$C11)*ISNUMBER('Test Patient'!C11)*((('Test Patient'!C11+VisitHrs/24&gt;DayEnd)+('Test Patient'!C11&lt;DayStart))&gt;0)+('Test Patient'!D11=$C11)*ISNUMBER('Test Patient'!E11)*((('Test Patient'!E11+VisitHrs/24&gt;DayEnd)+('Test Patient'!E11&lt;DayStart))&gt;0)+('Test Patient'!F11=$C11)*ISNUMBER('Test Patient'!G11)*((('Test Patient'!G11+VisitHrs/24&gt;DayEnd)+('Test Patient'!G11&lt;DayStart))&gt;0))+((('Anita Klesch'!$C11=$C11)+('Test Patient 2'!$C11=$C11))-1)+($B11=$C11)*($C11&lt;&gt;"")&gt;=1,1,0),0)</f>
        <v>0</v>
      </c>
      <c r="L11" s="12"/>
      <c r="M11" s="12">
        <f t="shared" si="1"/>
        <v>0</v>
      </c>
      <c r="N11" s="12">
        <f t="shared" si="2"/>
        <v>0</v>
      </c>
    </row>
    <row r="12" spans="1:14" x14ac:dyDescent="0.2">
      <c r="A12" s="2">
        <f t="shared" si="3"/>
        <v>46218</v>
      </c>
      <c r="B12" s="19"/>
      <c r="C12" s="19"/>
      <c r="H12" s="12">
        <f t="shared" si="0"/>
        <v>1</v>
      </c>
      <c r="I12" s="12"/>
      <c r="J12" s="12">
        <f>IF(AND($H12=1,$B12&lt;&gt;""),IF((('Lucy Levene'!B12=$B12)*ISNUMBER('Lucy Levene'!C12)*('Lucy Levene'!C12&lt;DayEnd)*('Lucy Levene'!C12+VisitHrs/24&gt;DayStart)+('Lucy Levene'!D12=$B12)*ISNUMBER('Lucy Levene'!E12)*('Lucy Levene'!E12&lt;DayEnd)*('Lucy Levene'!E12+VisitHrs/24&gt;DayStart)+('Lucy Levene'!F12=$B12)*ISNUMBER('Lucy Levene'!G12)*('Lucy Levene'!G12&lt;DayEnd)*('Lucy Levene'!G12+VisitHrs/24&gt;DayStart)+('Tom Bock'!B12=$B12)*ISNUMBER('Tom Bock'!C12)*('Tom Bock'!C12&lt;DayEnd)*('Tom Bock'!C12+VisitHrs/24&gt;DayStart)+('Tom Bock'!D12=$B12)*ISNUMBER('Tom Bock'!E12)*('Tom Bock'!E12&lt;DayEnd)*('Tom Bock'!E12+VisitHrs/24&gt;DayStart)+('Tom Bock'!F12=$B12)*ISNUMBER('Tom Bock'!G12)*('Tom Bock'!G12&lt;DayEnd)*('Tom Bock'!G12+VisitHrs/24&gt;DayStart)+(Jeremy!B12=$B12)*ISNUMBER(Jeremy!C12)*(Jeremy!C12&lt;DayEnd)*(Jeremy!C12+VisitHrs/24&gt;DayStart)+(Jeremy!D12=$B12)*ISNUMBER(Jeremy!E12)*(Jeremy!E12&lt;DayEnd)*(Jeremy!E12+VisitHrs/24&gt;DayStart)+(Jeremy!F12=$B12)*ISNUMBER(Jeremy!G12)*(Jeremy!G12&lt;DayEnd)*(Jeremy!G12+VisitHrs/24&gt;DayStart)+('Test Patient'!B12=$B12)*ISNUMBER('Test Patient'!C12)*('Test Patient'!C12&lt;DayEnd)*('Test Patient'!C12+VisitHrs/24&gt;DayStart)+('Test Patient'!D12=$B12)*ISNUMBER('Test Patient'!E12)*('Test Patient'!E12&lt;DayEnd)*('Test Patient'!E12+VisitHrs/24&gt;DayStart)+('Test Patient'!F12=$B12)*ISNUMBER('Test Patient'!G12)*('Test Patient'!G12&lt;DayEnd)*('Test Patient'!G12+VisitHrs/24&gt;DayStart))+((('Anita Klesch'!$B12=$B12)+('Test Patient 2'!$B12=$B12))-1)+($C12=$B12)*($B12&lt;&gt;"")&gt;=1,1,0),0)</f>
        <v>0</v>
      </c>
      <c r="K12" s="12">
        <f>IF(AND($H12=1,$C12&lt;&gt;""),IF((('Lucy Levene'!B12=$C12)*ISNUMBER('Lucy Levene'!C12)*((('Lucy Levene'!C12+VisitHrs/24&gt;DayEnd)+('Lucy Levene'!C12&lt;DayStart))&gt;0)+('Lucy Levene'!D12=$C12)*ISNUMBER('Lucy Levene'!E12)*((('Lucy Levene'!E12+VisitHrs/24&gt;DayEnd)+('Lucy Levene'!E12&lt;DayStart))&gt;0)+('Lucy Levene'!F12=$C12)*ISNUMBER('Lucy Levene'!G12)*((('Lucy Levene'!G12+VisitHrs/24&gt;DayEnd)+('Lucy Levene'!G12&lt;DayStart))&gt;0)+('Tom Bock'!B12=$C12)*ISNUMBER('Tom Bock'!C12)*((('Tom Bock'!C12+VisitHrs/24&gt;DayEnd)+('Tom Bock'!C12&lt;DayStart))&gt;0)+('Tom Bock'!D12=$C12)*ISNUMBER('Tom Bock'!E12)*((('Tom Bock'!E12+VisitHrs/24&gt;DayEnd)+('Tom Bock'!E12&lt;DayStart))&gt;0)+('Tom Bock'!F12=$C12)*ISNUMBER('Tom Bock'!G12)*((('Tom Bock'!G12+VisitHrs/24&gt;DayEnd)+('Tom Bock'!G12&lt;DayStart))&gt;0)+(Jeremy!B12=$C12)*ISNUMBER(Jeremy!C12)*(((Jeremy!C12+VisitHrs/24&gt;DayEnd)+(Jeremy!C12&lt;DayStart))&gt;0)+(Jeremy!D12=$C12)*ISNUMBER(Jeremy!E12)*(((Jeremy!E12+VisitHrs/24&gt;DayEnd)+(Jeremy!E12&lt;DayStart))&gt;0)+(Jeremy!F12=$C12)*ISNUMBER(Jeremy!G12)*(((Jeremy!G12+VisitHrs/24&gt;DayEnd)+(Jeremy!G12&lt;DayStart))&gt;0)+('Test Patient'!B12=$C12)*ISNUMBER('Test Patient'!C12)*((('Test Patient'!C12+VisitHrs/24&gt;DayEnd)+('Test Patient'!C12&lt;DayStart))&gt;0)+('Test Patient'!D12=$C12)*ISNUMBER('Test Patient'!E12)*((('Test Patient'!E12+VisitHrs/24&gt;DayEnd)+('Test Patient'!E12&lt;DayStart))&gt;0)+('Test Patient'!F12=$C12)*ISNUMBER('Test Patient'!G12)*((('Test Patient'!G12+VisitHrs/24&gt;DayEnd)+('Test Patient'!G12&lt;DayStart))&gt;0))+((('Anita Klesch'!$C12=$C12)+('Test Patient 2'!$C12=$C12))-1)+($B12=$C12)*($C12&lt;&gt;"")&gt;=1,1,0),0)</f>
        <v>0</v>
      </c>
      <c r="L12" s="12"/>
      <c r="M12" s="12">
        <f t="shared" si="1"/>
        <v>0</v>
      </c>
      <c r="N12" s="12">
        <f t="shared" si="2"/>
        <v>0</v>
      </c>
    </row>
    <row r="13" spans="1:14" x14ac:dyDescent="0.2">
      <c r="A13" s="2">
        <f t="shared" si="3"/>
        <v>46219</v>
      </c>
      <c r="B13" s="19"/>
      <c r="C13" s="19"/>
      <c r="H13" s="12">
        <f t="shared" si="0"/>
        <v>1</v>
      </c>
      <c r="I13" s="12"/>
      <c r="J13" s="12">
        <f>IF(AND($H13=1,$B13&lt;&gt;""),IF((('Lucy Levene'!B13=$B13)*ISNUMBER('Lucy Levene'!C13)*('Lucy Levene'!C13&lt;DayEnd)*('Lucy Levene'!C13+VisitHrs/24&gt;DayStart)+('Lucy Levene'!D13=$B13)*ISNUMBER('Lucy Levene'!E13)*('Lucy Levene'!E13&lt;DayEnd)*('Lucy Levene'!E13+VisitHrs/24&gt;DayStart)+('Lucy Levene'!F13=$B13)*ISNUMBER('Lucy Levene'!G13)*('Lucy Levene'!G13&lt;DayEnd)*('Lucy Levene'!G13+VisitHrs/24&gt;DayStart)+('Tom Bock'!B13=$B13)*ISNUMBER('Tom Bock'!C13)*('Tom Bock'!C13&lt;DayEnd)*('Tom Bock'!C13+VisitHrs/24&gt;DayStart)+('Tom Bock'!D13=$B13)*ISNUMBER('Tom Bock'!E13)*('Tom Bock'!E13&lt;DayEnd)*('Tom Bock'!E13+VisitHrs/24&gt;DayStart)+('Tom Bock'!F13=$B13)*ISNUMBER('Tom Bock'!G13)*('Tom Bock'!G13&lt;DayEnd)*('Tom Bock'!G13+VisitHrs/24&gt;DayStart)+(Jeremy!B13=$B13)*ISNUMBER(Jeremy!C13)*(Jeremy!C13&lt;DayEnd)*(Jeremy!C13+VisitHrs/24&gt;DayStart)+(Jeremy!D13=$B13)*ISNUMBER(Jeremy!E13)*(Jeremy!E13&lt;DayEnd)*(Jeremy!E13+VisitHrs/24&gt;DayStart)+(Jeremy!F13=$B13)*ISNUMBER(Jeremy!G13)*(Jeremy!G13&lt;DayEnd)*(Jeremy!G13+VisitHrs/24&gt;DayStart)+('Test Patient'!B13=$B13)*ISNUMBER('Test Patient'!C13)*('Test Patient'!C13&lt;DayEnd)*('Test Patient'!C13+VisitHrs/24&gt;DayStart)+('Test Patient'!D13=$B13)*ISNUMBER('Test Patient'!E13)*('Test Patient'!E13&lt;DayEnd)*('Test Patient'!E13+VisitHrs/24&gt;DayStart)+('Test Patient'!F13=$B13)*ISNUMBER('Test Patient'!G13)*('Test Patient'!G13&lt;DayEnd)*('Test Patient'!G13+VisitHrs/24&gt;DayStart))+((('Anita Klesch'!$B13=$B13)+('Test Patient 2'!$B13=$B13))-1)+($C13=$B13)*($B13&lt;&gt;"")&gt;=1,1,0),0)</f>
        <v>0</v>
      </c>
      <c r="K13" s="12">
        <f>IF(AND($H13=1,$C13&lt;&gt;""),IF((('Lucy Levene'!B13=$C13)*ISNUMBER('Lucy Levene'!C13)*((('Lucy Levene'!C13+VisitHrs/24&gt;DayEnd)+('Lucy Levene'!C13&lt;DayStart))&gt;0)+('Lucy Levene'!D13=$C13)*ISNUMBER('Lucy Levene'!E13)*((('Lucy Levene'!E13+VisitHrs/24&gt;DayEnd)+('Lucy Levene'!E13&lt;DayStart))&gt;0)+('Lucy Levene'!F13=$C13)*ISNUMBER('Lucy Levene'!G13)*((('Lucy Levene'!G13+VisitHrs/24&gt;DayEnd)+('Lucy Levene'!G13&lt;DayStart))&gt;0)+('Tom Bock'!B13=$C13)*ISNUMBER('Tom Bock'!C13)*((('Tom Bock'!C13+VisitHrs/24&gt;DayEnd)+('Tom Bock'!C13&lt;DayStart))&gt;0)+('Tom Bock'!D13=$C13)*ISNUMBER('Tom Bock'!E13)*((('Tom Bock'!E13+VisitHrs/24&gt;DayEnd)+('Tom Bock'!E13&lt;DayStart))&gt;0)+('Tom Bock'!F13=$C13)*ISNUMBER('Tom Bock'!G13)*((('Tom Bock'!G13+VisitHrs/24&gt;DayEnd)+('Tom Bock'!G13&lt;DayStart))&gt;0)+(Jeremy!B13=$C13)*ISNUMBER(Jeremy!C13)*(((Jeremy!C13+VisitHrs/24&gt;DayEnd)+(Jeremy!C13&lt;DayStart))&gt;0)+(Jeremy!D13=$C13)*ISNUMBER(Jeremy!E13)*(((Jeremy!E13+VisitHrs/24&gt;DayEnd)+(Jeremy!E13&lt;DayStart))&gt;0)+(Jeremy!F13=$C13)*ISNUMBER(Jeremy!G13)*(((Jeremy!G13+VisitHrs/24&gt;DayEnd)+(Jeremy!G13&lt;DayStart))&gt;0)+('Test Patient'!B13=$C13)*ISNUMBER('Test Patient'!C13)*((('Test Patient'!C13+VisitHrs/24&gt;DayEnd)+('Test Patient'!C13&lt;DayStart))&gt;0)+('Test Patient'!D13=$C13)*ISNUMBER('Test Patient'!E13)*((('Test Patient'!E13+VisitHrs/24&gt;DayEnd)+('Test Patient'!E13&lt;DayStart))&gt;0)+('Test Patient'!F13=$C13)*ISNUMBER('Test Patient'!G13)*((('Test Patient'!G13+VisitHrs/24&gt;DayEnd)+('Test Patient'!G13&lt;DayStart))&gt;0))+((('Anita Klesch'!$C13=$C13)+('Test Patient 2'!$C13=$C13))-1)+($B13=$C13)*($C13&lt;&gt;"")&gt;=1,1,0),0)</f>
        <v>0</v>
      </c>
      <c r="L13" s="12"/>
      <c r="M13" s="12">
        <f t="shared" si="1"/>
        <v>0</v>
      </c>
      <c r="N13" s="12">
        <f t="shared" si="2"/>
        <v>0</v>
      </c>
    </row>
    <row r="14" spans="1:14" x14ac:dyDescent="0.2">
      <c r="A14" s="2">
        <f t="shared" si="3"/>
        <v>46220</v>
      </c>
      <c r="B14" s="19"/>
      <c r="C14" s="19"/>
      <c r="H14" s="12">
        <f t="shared" si="0"/>
        <v>1</v>
      </c>
      <c r="I14" s="12"/>
      <c r="J14" s="12">
        <f>IF(AND($H14=1,$B14&lt;&gt;""),IF((('Lucy Levene'!B14=$B14)*ISNUMBER('Lucy Levene'!C14)*('Lucy Levene'!C14&lt;DayEnd)*('Lucy Levene'!C14+VisitHrs/24&gt;DayStart)+('Lucy Levene'!D14=$B14)*ISNUMBER('Lucy Levene'!E14)*('Lucy Levene'!E14&lt;DayEnd)*('Lucy Levene'!E14+VisitHrs/24&gt;DayStart)+('Lucy Levene'!F14=$B14)*ISNUMBER('Lucy Levene'!G14)*('Lucy Levene'!G14&lt;DayEnd)*('Lucy Levene'!G14+VisitHrs/24&gt;DayStart)+('Tom Bock'!B14=$B14)*ISNUMBER('Tom Bock'!C14)*('Tom Bock'!C14&lt;DayEnd)*('Tom Bock'!C14+VisitHrs/24&gt;DayStart)+('Tom Bock'!D14=$B14)*ISNUMBER('Tom Bock'!E14)*('Tom Bock'!E14&lt;DayEnd)*('Tom Bock'!E14+VisitHrs/24&gt;DayStart)+('Tom Bock'!F14=$B14)*ISNUMBER('Tom Bock'!G14)*('Tom Bock'!G14&lt;DayEnd)*('Tom Bock'!G14+VisitHrs/24&gt;DayStart)+(Jeremy!B14=$B14)*ISNUMBER(Jeremy!C14)*(Jeremy!C14&lt;DayEnd)*(Jeremy!C14+VisitHrs/24&gt;DayStart)+(Jeremy!D14=$B14)*ISNUMBER(Jeremy!E14)*(Jeremy!E14&lt;DayEnd)*(Jeremy!E14+VisitHrs/24&gt;DayStart)+(Jeremy!F14=$B14)*ISNUMBER(Jeremy!G14)*(Jeremy!G14&lt;DayEnd)*(Jeremy!G14+VisitHrs/24&gt;DayStart)+('Test Patient'!B14=$B14)*ISNUMBER('Test Patient'!C14)*('Test Patient'!C14&lt;DayEnd)*('Test Patient'!C14+VisitHrs/24&gt;DayStart)+('Test Patient'!D14=$B14)*ISNUMBER('Test Patient'!E14)*('Test Patient'!E14&lt;DayEnd)*('Test Patient'!E14+VisitHrs/24&gt;DayStart)+('Test Patient'!F14=$B14)*ISNUMBER('Test Patient'!G14)*('Test Patient'!G14&lt;DayEnd)*('Test Patient'!G14+VisitHrs/24&gt;DayStart))+((('Anita Klesch'!$B14=$B14)+('Test Patient 2'!$B14=$B14))-1)+($C14=$B14)*($B14&lt;&gt;"")&gt;=1,1,0),0)</f>
        <v>0</v>
      </c>
      <c r="K14" s="12">
        <f>IF(AND($H14=1,$C14&lt;&gt;""),IF((('Lucy Levene'!B14=$C14)*ISNUMBER('Lucy Levene'!C14)*((('Lucy Levene'!C14+VisitHrs/24&gt;DayEnd)+('Lucy Levene'!C14&lt;DayStart))&gt;0)+('Lucy Levene'!D14=$C14)*ISNUMBER('Lucy Levene'!E14)*((('Lucy Levene'!E14+VisitHrs/24&gt;DayEnd)+('Lucy Levene'!E14&lt;DayStart))&gt;0)+('Lucy Levene'!F14=$C14)*ISNUMBER('Lucy Levene'!G14)*((('Lucy Levene'!G14+VisitHrs/24&gt;DayEnd)+('Lucy Levene'!G14&lt;DayStart))&gt;0)+('Tom Bock'!B14=$C14)*ISNUMBER('Tom Bock'!C14)*((('Tom Bock'!C14+VisitHrs/24&gt;DayEnd)+('Tom Bock'!C14&lt;DayStart))&gt;0)+('Tom Bock'!D14=$C14)*ISNUMBER('Tom Bock'!E14)*((('Tom Bock'!E14+VisitHrs/24&gt;DayEnd)+('Tom Bock'!E14&lt;DayStart))&gt;0)+('Tom Bock'!F14=$C14)*ISNUMBER('Tom Bock'!G14)*((('Tom Bock'!G14+VisitHrs/24&gt;DayEnd)+('Tom Bock'!G14&lt;DayStart))&gt;0)+(Jeremy!B14=$C14)*ISNUMBER(Jeremy!C14)*(((Jeremy!C14+VisitHrs/24&gt;DayEnd)+(Jeremy!C14&lt;DayStart))&gt;0)+(Jeremy!D14=$C14)*ISNUMBER(Jeremy!E14)*(((Jeremy!E14+VisitHrs/24&gt;DayEnd)+(Jeremy!E14&lt;DayStart))&gt;0)+(Jeremy!F14=$C14)*ISNUMBER(Jeremy!G14)*(((Jeremy!G14+VisitHrs/24&gt;DayEnd)+(Jeremy!G14&lt;DayStart))&gt;0)+('Test Patient'!B14=$C14)*ISNUMBER('Test Patient'!C14)*((('Test Patient'!C14+VisitHrs/24&gt;DayEnd)+('Test Patient'!C14&lt;DayStart))&gt;0)+('Test Patient'!D14=$C14)*ISNUMBER('Test Patient'!E14)*((('Test Patient'!E14+VisitHrs/24&gt;DayEnd)+('Test Patient'!E14&lt;DayStart))&gt;0)+('Test Patient'!F14=$C14)*ISNUMBER('Test Patient'!G14)*((('Test Patient'!G14+VisitHrs/24&gt;DayEnd)+('Test Patient'!G14&lt;DayStart))&gt;0))+((('Anita Klesch'!$C14=$C14)+('Test Patient 2'!$C14=$C14))-1)+($B14=$C14)*($C14&lt;&gt;"")&gt;=1,1,0),0)</f>
        <v>0</v>
      </c>
      <c r="L14" s="12"/>
      <c r="M14" s="12">
        <f t="shared" si="1"/>
        <v>0</v>
      </c>
      <c r="N14" s="12">
        <f t="shared" si="2"/>
        <v>0</v>
      </c>
    </row>
    <row r="15" spans="1:14" x14ac:dyDescent="0.2">
      <c r="A15" s="2">
        <f t="shared" si="3"/>
        <v>46221</v>
      </c>
      <c r="B15" s="19"/>
      <c r="C15" s="19"/>
      <c r="H15" s="12">
        <f t="shared" si="0"/>
        <v>1</v>
      </c>
      <c r="I15" s="12"/>
      <c r="J15" s="12">
        <f>IF(AND($H15=1,$B15&lt;&gt;""),IF((('Lucy Levene'!B15=$B15)*ISNUMBER('Lucy Levene'!C15)*('Lucy Levene'!C15&lt;DayEnd)*('Lucy Levene'!C15+VisitHrs/24&gt;DayStart)+('Lucy Levene'!D15=$B15)*ISNUMBER('Lucy Levene'!E15)*('Lucy Levene'!E15&lt;DayEnd)*('Lucy Levene'!E15+VisitHrs/24&gt;DayStart)+('Lucy Levene'!F15=$B15)*ISNUMBER('Lucy Levene'!G15)*('Lucy Levene'!G15&lt;DayEnd)*('Lucy Levene'!G15+VisitHrs/24&gt;DayStart)+('Tom Bock'!B15=$B15)*ISNUMBER('Tom Bock'!C15)*('Tom Bock'!C15&lt;DayEnd)*('Tom Bock'!C15+VisitHrs/24&gt;DayStart)+('Tom Bock'!D15=$B15)*ISNUMBER('Tom Bock'!E15)*('Tom Bock'!E15&lt;DayEnd)*('Tom Bock'!E15+VisitHrs/24&gt;DayStart)+('Tom Bock'!F15=$B15)*ISNUMBER('Tom Bock'!G15)*('Tom Bock'!G15&lt;DayEnd)*('Tom Bock'!G15+VisitHrs/24&gt;DayStart)+(Jeremy!B15=$B15)*ISNUMBER(Jeremy!C15)*(Jeremy!C15&lt;DayEnd)*(Jeremy!C15+VisitHrs/24&gt;DayStart)+(Jeremy!D15=$B15)*ISNUMBER(Jeremy!E15)*(Jeremy!E15&lt;DayEnd)*(Jeremy!E15+VisitHrs/24&gt;DayStart)+(Jeremy!F15=$B15)*ISNUMBER(Jeremy!G15)*(Jeremy!G15&lt;DayEnd)*(Jeremy!G15+VisitHrs/24&gt;DayStart)+('Test Patient'!B15=$B15)*ISNUMBER('Test Patient'!C15)*('Test Patient'!C15&lt;DayEnd)*('Test Patient'!C15+VisitHrs/24&gt;DayStart)+('Test Patient'!D15=$B15)*ISNUMBER('Test Patient'!E15)*('Test Patient'!E15&lt;DayEnd)*('Test Patient'!E15+VisitHrs/24&gt;DayStart)+('Test Patient'!F15=$B15)*ISNUMBER('Test Patient'!G15)*('Test Patient'!G15&lt;DayEnd)*('Test Patient'!G15+VisitHrs/24&gt;DayStart))+((('Anita Klesch'!$B15=$B15)+('Test Patient 2'!$B15=$B15))-1)+($C15=$B15)*($B15&lt;&gt;"")&gt;=1,1,0),0)</f>
        <v>0</v>
      </c>
      <c r="K15" s="12">
        <f>IF(AND($H15=1,$C15&lt;&gt;""),IF((('Lucy Levene'!B15=$C15)*ISNUMBER('Lucy Levene'!C15)*((('Lucy Levene'!C15+VisitHrs/24&gt;DayEnd)+('Lucy Levene'!C15&lt;DayStart))&gt;0)+('Lucy Levene'!D15=$C15)*ISNUMBER('Lucy Levene'!E15)*((('Lucy Levene'!E15+VisitHrs/24&gt;DayEnd)+('Lucy Levene'!E15&lt;DayStart))&gt;0)+('Lucy Levene'!F15=$C15)*ISNUMBER('Lucy Levene'!G15)*((('Lucy Levene'!G15+VisitHrs/24&gt;DayEnd)+('Lucy Levene'!G15&lt;DayStart))&gt;0)+('Tom Bock'!B15=$C15)*ISNUMBER('Tom Bock'!C15)*((('Tom Bock'!C15+VisitHrs/24&gt;DayEnd)+('Tom Bock'!C15&lt;DayStart))&gt;0)+('Tom Bock'!D15=$C15)*ISNUMBER('Tom Bock'!E15)*((('Tom Bock'!E15+VisitHrs/24&gt;DayEnd)+('Tom Bock'!E15&lt;DayStart))&gt;0)+('Tom Bock'!F15=$C15)*ISNUMBER('Tom Bock'!G15)*((('Tom Bock'!G15+VisitHrs/24&gt;DayEnd)+('Tom Bock'!G15&lt;DayStart))&gt;0)+(Jeremy!B15=$C15)*ISNUMBER(Jeremy!C15)*(((Jeremy!C15+VisitHrs/24&gt;DayEnd)+(Jeremy!C15&lt;DayStart))&gt;0)+(Jeremy!D15=$C15)*ISNUMBER(Jeremy!E15)*(((Jeremy!E15+VisitHrs/24&gt;DayEnd)+(Jeremy!E15&lt;DayStart))&gt;0)+(Jeremy!F15=$C15)*ISNUMBER(Jeremy!G15)*(((Jeremy!G15+VisitHrs/24&gt;DayEnd)+(Jeremy!G15&lt;DayStart))&gt;0)+('Test Patient'!B15=$C15)*ISNUMBER('Test Patient'!C15)*((('Test Patient'!C15+VisitHrs/24&gt;DayEnd)+('Test Patient'!C15&lt;DayStart))&gt;0)+('Test Patient'!D15=$C15)*ISNUMBER('Test Patient'!E15)*((('Test Patient'!E15+VisitHrs/24&gt;DayEnd)+('Test Patient'!E15&lt;DayStart))&gt;0)+('Test Patient'!F15=$C15)*ISNUMBER('Test Patient'!G15)*((('Test Patient'!G15+VisitHrs/24&gt;DayEnd)+('Test Patient'!G15&lt;DayStart))&gt;0))+((('Anita Klesch'!$C15=$C15)+('Test Patient 2'!$C15=$C15))-1)+($B15=$C15)*($C15&lt;&gt;"")&gt;=1,1,0),0)</f>
        <v>0</v>
      </c>
      <c r="L15" s="12"/>
      <c r="M15" s="12">
        <f t="shared" si="1"/>
        <v>0</v>
      </c>
      <c r="N15" s="12">
        <f t="shared" si="2"/>
        <v>0</v>
      </c>
    </row>
    <row r="16" spans="1:14" x14ac:dyDescent="0.2">
      <c r="A16" s="2">
        <f t="shared" si="3"/>
        <v>46222</v>
      </c>
      <c r="B16" s="19"/>
      <c r="C16" s="19"/>
      <c r="H16" s="12">
        <f t="shared" si="0"/>
        <v>1</v>
      </c>
      <c r="I16" s="12"/>
      <c r="J16" s="12">
        <f>IF(AND($H16=1,$B16&lt;&gt;""),IF((('Lucy Levene'!B16=$B16)*ISNUMBER('Lucy Levene'!C16)*('Lucy Levene'!C16&lt;DayEnd)*('Lucy Levene'!C16+VisitHrs/24&gt;DayStart)+('Lucy Levene'!D16=$B16)*ISNUMBER('Lucy Levene'!E16)*('Lucy Levene'!E16&lt;DayEnd)*('Lucy Levene'!E16+VisitHrs/24&gt;DayStart)+('Lucy Levene'!F16=$B16)*ISNUMBER('Lucy Levene'!G16)*('Lucy Levene'!G16&lt;DayEnd)*('Lucy Levene'!G16+VisitHrs/24&gt;DayStart)+('Tom Bock'!B16=$B16)*ISNUMBER('Tom Bock'!C16)*('Tom Bock'!C16&lt;DayEnd)*('Tom Bock'!C16+VisitHrs/24&gt;DayStart)+('Tom Bock'!D16=$B16)*ISNUMBER('Tom Bock'!E16)*('Tom Bock'!E16&lt;DayEnd)*('Tom Bock'!E16+VisitHrs/24&gt;DayStart)+('Tom Bock'!F16=$B16)*ISNUMBER('Tom Bock'!G16)*('Tom Bock'!G16&lt;DayEnd)*('Tom Bock'!G16+VisitHrs/24&gt;DayStart)+(Jeremy!B16=$B16)*ISNUMBER(Jeremy!C16)*(Jeremy!C16&lt;DayEnd)*(Jeremy!C16+VisitHrs/24&gt;DayStart)+(Jeremy!D16=$B16)*ISNUMBER(Jeremy!E16)*(Jeremy!E16&lt;DayEnd)*(Jeremy!E16+VisitHrs/24&gt;DayStart)+(Jeremy!F16=$B16)*ISNUMBER(Jeremy!G16)*(Jeremy!G16&lt;DayEnd)*(Jeremy!G16+VisitHrs/24&gt;DayStart)+('Test Patient'!B16=$B16)*ISNUMBER('Test Patient'!C16)*('Test Patient'!C16&lt;DayEnd)*('Test Patient'!C16+VisitHrs/24&gt;DayStart)+('Test Patient'!D16=$B16)*ISNUMBER('Test Patient'!E16)*('Test Patient'!E16&lt;DayEnd)*('Test Patient'!E16+VisitHrs/24&gt;DayStart)+('Test Patient'!F16=$B16)*ISNUMBER('Test Patient'!G16)*('Test Patient'!G16&lt;DayEnd)*('Test Patient'!G16+VisitHrs/24&gt;DayStart))+((('Anita Klesch'!$B16=$B16)+('Test Patient 2'!$B16=$B16))-1)+($C16=$B16)*($B16&lt;&gt;"")&gt;=1,1,0),0)</f>
        <v>0</v>
      </c>
      <c r="K16" s="12">
        <f>IF(AND($H16=1,$C16&lt;&gt;""),IF((('Lucy Levene'!B16=$C16)*ISNUMBER('Lucy Levene'!C16)*((('Lucy Levene'!C16+VisitHrs/24&gt;DayEnd)+('Lucy Levene'!C16&lt;DayStart))&gt;0)+('Lucy Levene'!D16=$C16)*ISNUMBER('Lucy Levene'!E16)*((('Lucy Levene'!E16+VisitHrs/24&gt;DayEnd)+('Lucy Levene'!E16&lt;DayStart))&gt;0)+('Lucy Levene'!F16=$C16)*ISNUMBER('Lucy Levene'!G16)*((('Lucy Levene'!G16+VisitHrs/24&gt;DayEnd)+('Lucy Levene'!G16&lt;DayStart))&gt;0)+('Tom Bock'!B16=$C16)*ISNUMBER('Tom Bock'!C16)*((('Tom Bock'!C16+VisitHrs/24&gt;DayEnd)+('Tom Bock'!C16&lt;DayStart))&gt;0)+('Tom Bock'!D16=$C16)*ISNUMBER('Tom Bock'!E16)*((('Tom Bock'!E16+VisitHrs/24&gt;DayEnd)+('Tom Bock'!E16&lt;DayStart))&gt;0)+('Tom Bock'!F16=$C16)*ISNUMBER('Tom Bock'!G16)*((('Tom Bock'!G16+VisitHrs/24&gt;DayEnd)+('Tom Bock'!G16&lt;DayStart))&gt;0)+(Jeremy!B16=$C16)*ISNUMBER(Jeremy!C16)*(((Jeremy!C16+VisitHrs/24&gt;DayEnd)+(Jeremy!C16&lt;DayStart))&gt;0)+(Jeremy!D16=$C16)*ISNUMBER(Jeremy!E16)*(((Jeremy!E16+VisitHrs/24&gt;DayEnd)+(Jeremy!E16&lt;DayStart))&gt;0)+(Jeremy!F16=$C16)*ISNUMBER(Jeremy!G16)*(((Jeremy!G16+VisitHrs/24&gt;DayEnd)+(Jeremy!G16&lt;DayStart))&gt;0)+('Test Patient'!B16=$C16)*ISNUMBER('Test Patient'!C16)*((('Test Patient'!C16+VisitHrs/24&gt;DayEnd)+('Test Patient'!C16&lt;DayStart))&gt;0)+('Test Patient'!D16=$C16)*ISNUMBER('Test Patient'!E16)*((('Test Patient'!E16+VisitHrs/24&gt;DayEnd)+('Test Patient'!E16&lt;DayStart))&gt;0)+('Test Patient'!F16=$C16)*ISNUMBER('Test Patient'!G16)*((('Test Patient'!G16+VisitHrs/24&gt;DayEnd)+('Test Patient'!G16&lt;DayStart))&gt;0))+((('Anita Klesch'!$C16=$C16)+('Test Patient 2'!$C16=$C16))-1)+($B16=$C16)*($C16&lt;&gt;"")&gt;=1,1,0),0)</f>
        <v>0</v>
      </c>
      <c r="L16" s="12"/>
      <c r="M16" s="12">
        <f t="shared" si="1"/>
        <v>0</v>
      </c>
      <c r="N16" s="12">
        <f t="shared" si="2"/>
        <v>0</v>
      </c>
    </row>
    <row r="17" spans="1:14" x14ac:dyDescent="0.2">
      <c r="A17" s="2">
        <f t="shared" si="3"/>
        <v>46223</v>
      </c>
      <c r="B17" s="19"/>
      <c r="C17" s="19"/>
      <c r="H17" s="12">
        <f t="shared" si="0"/>
        <v>1</v>
      </c>
      <c r="I17" s="12"/>
      <c r="J17" s="12">
        <f>IF(AND($H17=1,$B17&lt;&gt;""),IF((('Lucy Levene'!B17=$B17)*ISNUMBER('Lucy Levene'!C17)*('Lucy Levene'!C17&lt;DayEnd)*('Lucy Levene'!C17+VisitHrs/24&gt;DayStart)+('Lucy Levene'!D17=$B17)*ISNUMBER('Lucy Levene'!E17)*('Lucy Levene'!E17&lt;DayEnd)*('Lucy Levene'!E17+VisitHrs/24&gt;DayStart)+('Lucy Levene'!F17=$B17)*ISNUMBER('Lucy Levene'!G17)*('Lucy Levene'!G17&lt;DayEnd)*('Lucy Levene'!G17+VisitHrs/24&gt;DayStart)+('Tom Bock'!B17=$B17)*ISNUMBER('Tom Bock'!C17)*('Tom Bock'!C17&lt;DayEnd)*('Tom Bock'!C17+VisitHrs/24&gt;DayStart)+('Tom Bock'!D17=$B17)*ISNUMBER('Tom Bock'!E17)*('Tom Bock'!E17&lt;DayEnd)*('Tom Bock'!E17+VisitHrs/24&gt;DayStart)+('Tom Bock'!F17=$B17)*ISNUMBER('Tom Bock'!G17)*('Tom Bock'!G17&lt;DayEnd)*('Tom Bock'!G17+VisitHrs/24&gt;DayStart)+(Jeremy!B17=$B17)*ISNUMBER(Jeremy!C17)*(Jeremy!C17&lt;DayEnd)*(Jeremy!C17+VisitHrs/24&gt;DayStart)+(Jeremy!D17=$B17)*ISNUMBER(Jeremy!E17)*(Jeremy!E17&lt;DayEnd)*(Jeremy!E17+VisitHrs/24&gt;DayStart)+(Jeremy!F17=$B17)*ISNUMBER(Jeremy!G17)*(Jeremy!G17&lt;DayEnd)*(Jeremy!G17+VisitHrs/24&gt;DayStart)+('Test Patient'!B17=$B17)*ISNUMBER('Test Patient'!C17)*('Test Patient'!C17&lt;DayEnd)*('Test Patient'!C17+VisitHrs/24&gt;DayStart)+('Test Patient'!D17=$B17)*ISNUMBER('Test Patient'!E17)*('Test Patient'!E17&lt;DayEnd)*('Test Patient'!E17+VisitHrs/24&gt;DayStart)+('Test Patient'!F17=$B17)*ISNUMBER('Test Patient'!G17)*('Test Patient'!G17&lt;DayEnd)*('Test Patient'!G17+VisitHrs/24&gt;DayStart))+((('Anita Klesch'!$B17=$B17)+('Test Patient 2'!$B17=$B17))-1)+($C17=$B17)*($B17&lt;&gt;"")&gt;=1,1,0),0)</f>
        <v>0</v>
      </c>
      <c r="K17" s="12">
        <f>IF(AND($H17=1,$C17&lt;&gt;""),IF((('Lucy Levene'!B17=$C17)*ISNUMBER('Lucy Levene'!C17)*((('Lucy Levene'!C17+VisitHrs/24&gt;DayEnd)+('Lucy Levene'!C17&lt;DayStart))&gt;0)+('Lucy Levene'!D17=$C17)*ISNUMBER('Lucy Levene'!E17)*((('Lucy Levene'!E17+VisitHrs/24&gt;DayEnd)+('Lucy Levene'!E17&lt;DayStart))&gt;0)+('Lucy Levene'!F17=$C17)*ISNUMBER('Lucy Levene'!G17)*((('Lucy Levene'!G17+VisitHrs/24&gt;DayEnd)+('Lucy Levene'!G17&lt;DayStart))&gt;0)+('Tom Bock'!B17=$C17)*ISNUMBER('Tom Bock'!C17)*((('Tom Bock'!C17+VisitHrs/24&gt;DayEnd)+('Tom Bock'!C17&lt;DayStart))&gt;0)+('Tom Bock'!D17=$C17)*ISNUMBER('Tom Bock'!E17)*((('Tom Bock'!E17+VisitHrs/24&gt;DayEnd)+('Tom Bock'!E17&lt;DayStart))&gt;0)+('Tom Bock'!F17=$C17)*ISNUMBER('Tom Bock'!G17)*((('Tom Bock'!G17+VisitHrs/24&gt;DayEnd)+('Tom Bock'!G17&lt;DayStart))&gt;0)+(Jeremy!B17=$C17)*ISNUMBER(Jeremy!C17)*(((Jeremy!C17+VisitHrs/24&gt;DayEnd)+(Jeremy!C17&lt;DayStart))&gt;0)+(Jeremy!D17=$C17)*ISNUMBER(Jeremy!E17)*(((Jeremy!E17+VisitHrs/24&gt;DayEnd)+(Jeremy!E17&lt;DayStart))&gt;0)+(Jeremy!F17=$C17)*ISNUMBER(Jeremy!G17)*(((Jeremy!G17+VisitHrs/24&gt;DayEnd)+(Jeremy!G17&lt;DayStart))&gt;0)+('Test Patient'!B17=$C17)*ISNUMBER('Test Patient'!C17)*((('Test Patient'!C17+VisitHrs/24&gt;DayEnd)+('Test Patient'!C17&lt;DayStart))&gt;0)+('Test Patient'!D17=$C17)*ISNUMBER('Test Patient'!E17)*((('Test Patient'!E17+VisitHrs/24&gt;DayEnd)+('Test Patient'!E17&lt;DayStart))&gt;0)+('Test Patient'!F17=$C17)*ISNUMBER('Test Patient'!G17)*((('Test Patient'!G17+VisitHrs/24&gt;DayEnd)+('Test Patient'!G17&lt;DayStart))&gt;0))+((('Anita Klesch'!$C17=$C17)+('Test Patient 2'!$C17=$C17))-1)+($B17=$C17)*($C17&lt;&gt;"")&gt;=1,1,0),0)</f>
        <v>0</v>
      </c>
      <c r="L17" s="12"/>
      <c r="M17" s="12">
        <f t="shared" si="1"/>
        <v>0</v>
      </c>
      <c r="N17" s="12">
        <f t="shared" si="2"/>
        <v>0</v>
      </c>
    </row>
    <row r="18" spans="1:14" x14ac:dyDescent="0.2">
      <c r="A18" s="2">
        <f t="shared" si="3"/>
        <v>46224</v>
      </c>
      <c r="B18" s="19"/>
      <c r="C18" s="19"/>
      <c r="H18" s="12">
        <f t="shared" si="0"/>
        <v>1</v>
      </c>
      <c r="I18" s="12"/>
      <c r="J18" s="12">
        <f>IF(AND($H18=1,$B18&lt;&gt;""),IF((('Lucy Levene'!B18=$B18)*ISNUMBER('Lucy Levene'!C18)*('Lucy Levene'!C18&lt;DayEnd)*('Lucy Levene'!C18+VisitHrs/24&gt;DayStart)+('Lucy Levene'!D18=$B18)*ISNUMBER('Lucy Levene'!E18)*('Lucy Levene'!E18&lt;DayEnd)*('Lucy Levene'!E18+VisitHrs/24&gt;DayStart)+('Lucy Levene'!F18=$B18)*ISNUMBER('Lucy Levene'!G18)*('Lucy Levene'!G18&lt;DayEnd)*('Lucy Levene'!G18+VisitHrs/24&gt;DayStart)+('Tom Bock'!B18=$B18)*ISNUMBER('Tom Bock'!C18)*('Tom Bock'!C18&lt;DayEnd)*('Tom Bock'!C18+VisitHrs/24&gt;DayStart)+('Tom Bock'!D18=$B18)*ISNUMBER('Tom Bock'!E18)*('Tom Bock'!E18&lt;DayEnd)*('Tom Bock'!E18+VisitHrs/24&gt;DayStart)+('Tom Bock'!F18=$B18)*ISNUMBER('Tom Bock'!G18)*('Tom Bock'!G18&lt;DayEnd)*('Tom Bock'!G18+VisitHrs/24&gt;DayStart)+(Jeremy!B18=$B18)*ISNUMBER(Jeremy!C18)*(Jeremy!C18&lt;DayEnd)*(Jeremy!C18+VisitHrs/24&gt;DayStart)+(Jeremy!D18=$B18)*ISNUMBER(Jeremy!E18)*(Jeremy!E18&lt;DayEnd)*(Jeremy!E18+VisitHrs/24&gt;DayStart)+(Jeremy!F18=$B18)*ISNUMBER(Jeremy!G18)*(Jeremy!G18&lt;DayEnd)*(Jeremy!G18+VisitHrs/24&gt;DayStart)+('Test Patient'!B18=$B18)*ISNUMBER('Test Patient'!C18)*('Test Patient'!C18&lt;DayEnd)*('Test Patient'!C18+VisitHrs/24&gt;DayStart)+('Test Patient'!D18=$B18)*ISNUMBER('Test Patient'!E18)*('Test Patient'!E18&lt;DayEnd)*('Test Patient'!E18+VisitHrs/24&gt;DayStart)+('Test Patient'!F18=$B18)*ISNUMBER('Test Patient'!G18)*('Test Patient'!G18&lt;DayEnd)*('Test Patient'!G18+VisitHrs/24&gt;DayStart))+((('Anita Klesch'!$B18=$B18)+('Test Patient 2'!$B18=$B18))-1)+($C18=$B18)*($B18&lt;&gt;"")&gt;=1,1,0),0)</f>
        <v>0</v>
      </c>
      <c r="K18" s="12">
        <f>IF(AND($H18=1,$C18&lt;&gt;""),IF((('Lucy Levene'!B18=$C18)*ISNUMBER('Lucy Levene'!C18)*((('Lucy Levene'!C18+VisitHrs/24&gt;DayEnd)+('Lucy Levene'!C18&lt;DayStart))&gt;0)+('Lucy Levene'!D18=$C18)*ISNUMBER('Lucy Levene'!E18)*((('Lucy Levene'!E18+VisitHrs/24&gt;DayEnd)+('Lucy Levene'!E18&lt;DayStart))&gt;0)+('Lucy Levene'!F18=$C18)*ISNUMBER('Lucy Levene'!G18)*((('Lucy Levene'!G18+VisitHrs/24&gt;DayEnd)+('Lucy Levene'!G18&lt;DayStart))&gt;0)+('Tom Bock'!B18=$C18)*ISNUMBER('Tom Bock'!C18)*((('Tom Bock'!C18+VisitHrs/24&gt;DayEnd)+('Tom Bock'!C18&lt;DayStart))&gt;0)+('Tom Bock'!D18=$C18)*ISNUMBER('Tom Bock'!E18)*((('Tom Bock'!E18+VisitHrs/24&gt;DayEnd)+('Tom Bock'!E18&lt;DayStart))&gt;0)+('Tom Bock'!F18=$C18)*ISNUMBER('Tom Bock'!G18)*((('Tom Bock'!G18+VisitHrs/24&gt;DayEnd)+('Tom Bock'!G18&lt;DayStart))&gt;0)+(Jeremy!B18=$C18)*ISNUMBER(Jeremy!C18)*(((Jeremy!C18+VisitHrs/24&gt;DayEnd)+(Jeremy!C18&lt;DayStart))&gt;0)+(Jeremy!D18=$C18)*ISNUMBER(Jeremy!E18)*(((Jeremy!E18+VisitHrs/24&gt;DayEnd)+(Jeremy!E18&lt;DayStart))&gt;0)+(Jeremy!F18=$C18)*ISNUMBER(Jeremy!G18)*(((Jeremy!G18+VisitHrs/24&gt;DayEnd)+(Jeremy!G18&lt;DayStart))&gt;0)+('Test Patient'!B18=$C18)*ISNUMBER('Test Patient'!C18)*((('Test Patient'!C18+VisitHrs/24&gt;DayEnd)+('Test Patient'!C18&lt;DayStart))&gt;0)+('Test Patient'!D18=$C18)*ISNUMBER('Test Patient'!E18)*((('Test Patient'!E18+VisitHrs/24&gt;DayEnd)+('Test Patient'!E18&lt;DayStart))&gt;0)+('Test Patient'!F18=$C18)*ISNUMBER('Test Patient'!G18)*((('Test Patient'!G18+VisitHrs/24&gt;DayEnd)+('Test Patient'!G18&lt;DayStart))&gt;0))+((('Anita Klesch'!$C18=$C18)+('Test Patient 2'!$C18=$C18))-1)+($B18=$C18)*($C18&lt;&gt;"")&gt;=1,1,0),0)</f>
        <v>0</v>
      </c>
      <c r="L18" s="12"/>
      <c r="M18" s="12">
        <f t="shared" si="1"/>
        <v>0</v>
      </c>
      <c r="N18" s="12">
        <f t="shared" si="2"/>
        <v>0</v>
      </c>
    </row>
    <row r="19" spans="1:14" x14ac:dyDescent="0.2">
      <c r="A19" s="2">
        <f t="shared" si="3"/>
        <v>46225</v>
      </c>
      <c r="B19" s="19"/>
      <c r="C19" s="19"/>
      <c r="H19" s="12">
        <f t="shared" si="0"/>
        <v>1</v>
      </c>
      <c r="I19" s="12"/>
      <c r="J19" s="12">
        <f>IF(AND($H19=1,$B19&lt;&gt;""),IF((('Lucy Levene'!B19=$B19)*ISNUMBER('Lucy Levene'!C19)*('Lucy Levene'!C19&lt;DayEnd)*('Lucy Levene'!C19+VisitHrs/24&gt;DayStart)+('Lucy Levene'!D19=$B19)*ISNUMBER('Lucy Levene'!E19)*('Lucy Levene'!E19&lt;DayEnd)*('Lucy Levene'!E19+VisitHrs/24&gt;DayStart)+('Lucy Levene'!F19=$B19)*ISNUMBER('Lucy Levene'!G19)*('Lucy Levene'!G19&lt;DayEnd)*('Lucy Levene'!G19+VisitHrs/24&gt;DayStart)+('Tom Bock'!B19=$B19)*ISNUMBER('Tom Bock'!C19)*('Tom Bock'!C19&lt;DayEnd)*('Tom Bock'!C19+VisitHrs/24&gt;DayStart)+('Tom Bock'!D19=$B19)*ISNUMBER('Tom Bock'!E19)*('Tom Bock'!E19&lt;DayEnd)*('Tom Bock'!E19+VisitHrs/24&gt;DayStart)+('Tom Bock'!F19=$B19)*ISNUMBER('Tom Bock'!G19)*('Tom Bock'!G19&lt;DayEnd)*('Tom Bock'!G19+VisitHrs/24&gt;DayStart)+(Jeremy!B19=$B19)*ISNUMBER(Jeremy!C19)*(Jeremy!C19&lt;DayEnd)*(Jeremy!C19+VisitHrs/24&gt;DayStart)+(Jeremy!D19=$B19)*ISNUMBER(Jeremy!E19)*(Jeremy!E19&lt;DayEnd)*(Jeremy!E19+VisitHrs/24&gt;DayStart)+(Jeremy!F19=$B19)*ISNUMBER(Jeremy!G19)*(Jeremy!G19&lt;DayEnd)*(Jeremy!G19+VisitHrs/24&gt;DayStart)+('Test Patient'!B19=$B19)*ISNUMBER('Test Patient'!C19)*('Test Patient'!C19&lt;DayEnd)*('Test Patient'!C19+VisitHrs/24&gt;DayStart)+('Test Patient'!D19=$B19)*ISNUMBER('Test Patient'!E19)*('Test Patient'!E19&lt;DayEnd)*('Test Patient'!E19+VisitHrs/24&gt;DayStart)+('Test Patient'!F19=$B19)*ISNUMBER('Test Patient'!G19)*('Test Patient'!G19&lt;DayEnd)*('Test Patient'!G19+VisitHrs/24&gt;DayStart))+((('Anita Klesch'!$B19=$B19)+('Test Patient 2'!$B19=$B19))-1)+($C19=$B19)*($B19&lt;&gt;"")&gt;=1,1,0),0)</f>
        <v>0</v>
      </c>
      <c r="K19" s="12">
        <f>IF(AND($H19=1,$C19&lt;&gt;""),IF((('Lucy Levene'!B19=$C19)*ISNUMBER('Lucy Levene'!C19)*((('Lucy Levene'!C19+VisitHrs/24&gt;DayEnd)+('Lucy Levene'!C19&lt;DayStart))&gt;0)+('Lucy Levene'!D19=$C19)*ISNUMBER('Lucy Levene'!E19)*((('Lucy Levene'!E19+VisitHrs/24&gt;DayEnd)+('Lucy Levene'!E19&lt;DayStart))&gt;0)+('Lucy Levene'!F19=$C19)*ISNUMBER('Lucy Levene'!G19)*((('Lucy Levene'!G19+VisitHrs/24&gt;DayEnd)+('Lucy Levene'!G19&lt;DayStart))&gt;0)+('Tom Bock'!B19=$C19)*ISNUMBER('Tom Bock'!C19)*((('Tom Bock'!C19+VisitHrs/24&gt;DayEnd)+('Tom Bock'!C19&lt;DayStart))&gt;0)+('Tom Bock'!D19=$C19)*ISNUMBER('Tom Bock'!E19)*((('Tom Bock'!E19+VisitHrs/24&gt;DayEnd)+('Tom Bock'!E19&lt;DayStart))&gt;0)+('Tom Bock'!F19=$C19)*ISNUMBER('Tom Bock'!G19)*((('Tom Bock'!G19+VisitHrs/24&gt;DayEnd)+('Tom Bock'!G19&lt;DayStart))&gt;0)+(Jeremy!B19=$C19)*ISNUMBER(Jeremy!C19)*(((Jeremy!C19+VisitHrs/24&gt;DayEnd)+(Jeremy!C19&lt;DayStart))&gt;0)+(Jeremy!D19=$C19)*ISNUMBER(Jeremy!E19)*(((Jeremy!E19+VisitHrs/24&gt;DayEnd)+(Jeremy!E19&lt;DayStart))&gt;0)+(Jeremy!F19=$C19)*ISNUMBER(Jeremy!G19)*(((Jeremy!G19+VisitHrs/24&gt;DayEnd)+(Jeremy!G19&lt;DayStart))&gt;0)+('Test Patient'!B19=$C19)*ISNUMBER('Test Patient'!C19)*((('Test Patient'!C19+VisitHrs/24&gt;DayEnd)+('Test Patient'!C19&lt;DayStart))&gt;0)+('Test Patient'!D19=$C19)*ISNUMBER('Test Patient'!E19)*((('Test Patient'!E19+VisitHrs/24&gt;DayEnd)+('Test Patient'!E19&lt;DayStart))&gt;0)+('Test Patient'!F19=$C19)*ISNUMBER('Test Patient'!G19)*((('Test Patient'!G19+VisitHrs/24&gt;DayEnd)+('Test Patient'!G19&lt;DayStart))&gt;0))+((('Anita Klesch'!$C19=$C19)+('Test Patient 2'!$C19=$C19))-1)+($B19=$C19)*($C19&lt;&gt;"")&gt;=1,1,0),0)</f>
        <v>0</v>
      </c>
      <c r="L19" s="12"/>
      <c r="M19" s="12">
        <f t="shared" si="1"/>
        <v>0</v>
      </c>
      <c r="N19" s="12">
        <f t="shared" si="2"/>
        <v>0</v>
      </c>
    </row>
    <row r="20" spans="1:14" x14ac:dyDescent="0.2">
      <c r="A20" s="2">
        <f t="shared" si="3"/>
        <v>46226</v>
      </c>
      <c r="B20" s="19"/>
      <c r="C20" s="19"/>
      <c r="H20" s="12">
        <f t="shared" si="0"/>
        <v>1</v>
      </c>
      <c r="I20" s="12"/>
      <c r="J20" s="12">
        <f>IF(AND($H20=1,$B20&lt;&gt;""),IF((('Lucy Levene'!B20=$B20)*ISNUMBER('Lucy Levene'!C20)*('Lucy Levene'!C20&lt;DayEnd)*('Lucy Levene'!C20+VisitHrs/24&gt;DayStart)+('Lucy Levene'!D20=$B20)*ISNUMBER('Lucy Levene'!E20)*('Lucy Levene'!E20&lt;DayEnd)*('Lucy Levene'!E20+VisitHrs/24&gt;DayStart)+('Lucy Levene'!F20=$B20)*ISNUMBER('Lucy Levene'!G20)*('Lucy Levene'!G20&lt;DayEnd)*('Lucy Levene'!G20+VisitHrs/24&gt;DayStart)+('Tom Bock'!B20=$B20)*ISNUMBER('Tom Bock'!C20)*('Tom Bock'!C20&lt;DayEnd)*('Tom Bock'!C20+VisitHrs/24&gt;DayStart)+('Tom Bock'!D20=$B20)*ISNUMBER('Tom Bock'!E20)*('Tom Bock'!E20&lt;DayEnd)*('Tom Bock'!E20+VisitHrs/24&gt;DayStart)+('Tom Bock'!F20=$B20)*ISNUMBER('Tom Bock'!G20)*('Tom Bock'!G20&lt;DayEnd)*('Tom Bock'!G20+VisitHrs/24&gt;DayStart)+(Jeremy!B20=$B20)*ISNUMBER(Jeremy!C20)*(Jeremy!C20&lt;DayEnd)*(Jeremy!C20+VisitHrs/24&gt;DayStart)+(Jeremy!D20=$B20)*ISNUMBER(Jeremy!E20)*(Jeremy!E20&lt;DayEnd)*(Jeremy!E20+VisitHrs/24&gt;DayStart)+(Jeremy!F20=$B20)*ISNUMBER(Jeremy!G20)*(Jeremy!G20&lt;DayEnd)*(Jeremy!G20+VisitHrs/24&gt;DayStart)+('Test Patient'!B20=$B20)*ISNUMBER('Test Patient'!C20)*('Test Patient'!C20&lt;DayEnd)*('Test Patient'!C20+VisitHrs/24&gt;DayStart)+('Test Patient'!D20=$B20)*ISNUMBER('Test Patient'!E20)*('Test Patient'!E20&lt;DayEnd)*('Test Patient'!E20+VisitHrs/24&gt;DayStart)+('Test Patient'!F20=$B20)*ISNUMBER('Test Patient'!G20)*('Test Patient'!G20&lt;DayEnd)*('Test Patient'!G20+VisitHrs/24&gt;DayStart))+((('Anita Klesch'!$B20=$B20)+('Test Patient 2'!$B20=$B20))-1)+($C20=$B20)*($B20&lt;&gt;"")&gt;=1,1,0),0)</f>
        <v>0</v>
      </c>
      <c r="K20" s="12">
        <f>IF(AND($H20=1,$C20&lt;&gt;""),IF((('Lucy Levene'!B20=$C20)*ISNUMBER('Lucy Levene'!C20)*((('Lucy Levene'!C20+VisitHrs/24&gt;DayEnd)+('Lucy Levene'!C20&lt;DayStart))&gt;0)+('Lucy Levene'!D20=$C20)*ISNUMBER('Lucy Levene'!E20)*((('Lucy Levene'!E20+VisitHrs/24&gt;DayEnd)+('Lucy Levene'!E20&lt;DayStart))&gt;0)+('Lucy Levene'!F20=$C20)*ISNUMBER('Lucy Levene'!G20)*((('Lucy Levene'!G20+VisitHrs/24&gt;DayEnd)+('Lucy Levene'!G20&lt;DayStart))&gt;0)+('Tom Bock'!B20=$C20)*ISNUMBER('Tom Bock'!C20)*((('Tom Bock'!C20+VisitHrs/24&gt;DayEnd)+('Tom Bock'!C20&lt;DayStart))&gt;0)+('Tom Bock'!D20=$C20)*ISNUMBER('Tom Bock'!E20)*((('Tom Bock'!E20+VisitHrs/24&gt;DayEnd)+('Tom Bock'!E20&lt;DayStart))&gt;0)+('Tom Bock'!F20=$C20)*ISNUMBER('Tom Bock'!G20)*((('Tom Bock'!G20+VisitHrs/24&gt;DayEnd)+('Tom Bock'!G20&lt;DayStart))&gt;0)+(Jeremy!B20=$C20)*ISNUMBER(Jeremy!C20)*(((Jeremy!C20+VisitHrs/24&gt;DayEnd)+(Jeremy!C20&lt;DayStart))&gt;0)+(Jeremy!D20=$C20)*ISNUMBER(Jeremy!E20)*(((Jeremy!E20+VisitHrs/24&gt;DayEnd)+(Jeremy!E20&lt;DayStart))&gt;0)+(Jeremy!F20=$C20)*ISNUMBER(Jeremy!G20)*(((Jeremy!G20+VisitHrs/24&gt;DayEnd)+(Jeremy!G20&lt;DayStart))&gt;0)+('Test Patient'!B20=$C20)*ISNUMBER('Test Patient'!C20)*((('Test Patient'!C20+VisitHrs/24&gt;DayEnd)+('Test Patient'!C20&lt;DayStart))&gt;0)+('Test Patient'!D20=$C20)*ISNUMBER('Test Patient'!E20)*((('Test Patient'!E20+VisitHrs/24&gt;DayEnd)+('Test Patient'!E20&lt;DayStart))&gt;0)+('Test Patient'!F20=$C20)*ISNUMBER('Test Patient'!G20)*((('Test Patient'!G20+VisitHrs/24&gt;DayEnd)+('Test Patient'!G20&lt;DayStart))&gt;0))+((('Anita Klesch'!$C20=$C20)+('Test Patient 2'!$C20=$C20))-1)+($B20=$C20)*($C20&lt;&gt;"")&gt;=1,1,0),0)</f>
        <v>0</v>
      </c>
      <c r="L20" s="12"/>
      <c r="M20" s="12">
        <f t="shared" si="1"/>
        <v>0</v>
      </c>
      <c r="N20" s="12">
        <f t="shared" si="2"/>
        <v>0</v>
      </c>
    </row>
    <row r="21" spans="1:14" x14ac:dyDescent="0.2">
      <c r="A21" s="2">
        <f t="shared" si="3"/>
        <v>46227</v>
      </c>
      <c r="B21" s="19"/>
      <c r="C21" s="19"/>
      <c r="H21" s="12">
        <f t="shared" si="0"/>
        <v>1</v>
      </c>
      <c r="I21" s="12"/>
      <c r="J21" s="12">
        <f>IF(AND($H21=1,$B21&lt;&gt;""),IF((('Lucy Levene'!B21=$B21)*ISNUMBER('Lucy Levene'!C21)*('Lucy Levene'!C21&lt;DayEnd)*('Lucy Levene'!C21+VisitHrs/24&gt;DayStart)+('Lucy Levene'!D21=$B21)*ISNUMBER('Lucy Levene'!E21)*('Lucy Levene'!E21&lt;DayEnd)*('Lucy Levene'!E21+VisitHrs/24&gt;DayStart)+('Lucy Levene'!F21=$B21)*ISNUMBER('Lucy Levene'!G21)*('Lucy Levene'!G21&lt;DayEnd)*('Lucy Levene'!G21+VisitHrs/24&gt;DayStart)+('Tom Bock'!B21=$B21)*ISNUMBER('Tom Bock'!C21)*('Tom Bock'!C21&lt;DayEnd)*('Tom Bock'!C21+VisitHrs/24&gt;DayStart)+('Tom Bock'!D21=$B21)*ISNUMBER('Tom Bock'!E21)*('Tom Bock'!E21&lt;DayEnd)*('Tom Bock'!E21+VisitHrs/24&gt;DayStart)+('Tom Bock'!F21=$B21)*ISNUMBER('Tom Bock'!G21)*('Tom Bock'!G21&lt;DayEnd)*('Tom Bock'!G21+VisitHrs/24&gt;DayStart)+(Jeremy!B21=$B21)*ISNUMBER(Jeremy!C21)*(Jeremy!C21&lt;DayEnd)*(Jeremy!C21+VisitHrs/24&gt;DayStart)+(Jeremy!D21=$B21)*ISNUMBER(Jeremy!E21)*(Jeremy!E21&lt;DayEnd)*(Jeremy!E21+VisitHrs/24&gt;DayStart)+(Jeremy!F21=$B21)*ISNUMBER(Jeremy!G21)*(Jeremy!G21&lt;DayEnd)*(Jeremy!G21+VisitHrs/24&gt;DayStart)+('Test Patient'!B21=$B21)*ISNUMBER('Test Patient'!C21)*('Test Patient'!C21&lt;DayEnd)*('Test Patient'!C21+VisitHrs/24&gt;DayStart)+('Test Patient'!D21=$B21)*ISNUMBER('Test Patient'!E21)*('Test Patient'!E21&lt;DayEnd)*('Test Patient'!E21+VisitHrs/24&gt;DayStart)+('Test Patient'!F21=$B21)*ISNUMBER('Test Patient'!G21)*('Test Patient'!G21&lt;DayEnd)*('Test Patient'!G21+VisitHrs/24&gt;DayStart))+((('Anita Klesch'!$B21=$B21)+('Test Patient 2'!$B21=$B21))-1)+($C21=$B21)*($B21&lt;&gt;"")&gt;=1,1,0),0)</f>
        <v>0</v>
      </c>
      <c r="K21" s="12">
        <f>IF(AND($H21=1,$C21&lt;&gt;""),IF((('Lucy Levene'!B21=$C21)*ISNUMBER('Lucy Levene'!C21)*((('Lucy Levene'!C21+VisitHrs/24&gt;DayEnd)+('Lucy Levene'!C21&lt;DayStart))&gt;0)+('Lucy Levene'!D21=$C21)*ISNUMBER('Lucy Levene'!E21)*((('Lucy Levene'!E21+VisitHrs/24&gt;DayEnd)+('Lucy Levene'!E21&lt;DayStart))&gt;0)+('Lucy Levene'!F21=$C21)*ISNUMBER('Lucy Levene'!G21)*((('Lucy Levene'!G21+VisitHrs/24&gt;DayEnd)+('Lucy Levene'!G21&lt;DayStart))&gt;0)+('Tom Bock'!B21=$C21)*ISNUMBER('Tom Bock'!C21)*((('Tom Bock'!C21+VisitHrs/24&gt;DayEnd)+('Tom Bock'!C21&lt;DayStart))&gt;0)+('Tom Bock'!D21=$C21)*ISNUMBER('Tom Bock'!E21)*((('Tom Bock'!E21+VisitHrs/24&gt;DayEnd)+('Tom Bock'!E21&lt;DayStart))&gt;0)+('Tom Bock'!F21=$C21)*ISNUMBER('Tom Bock'!G21)*((('Tom Bock'!G21+VisitHrs/24&gt;DayEnd)+('Tom Bock'!G21&lt;DayStart))&gt;0)+(Jeremy!B21=$C21)*ISNUMBER(Jeremy!C21)*(((Jeremy!C21+VisitHrs/24&gt;DayEnd)+(Jeremy!C21&lt;DayStart))&gt;0)+(Jeremy!D21=$C21)*ISNUMBER(Jeremy!E21)*(((Jeremy!E21+VisitHrs/24&gt;DayEnd)+(Jeremy!E21&lt;DayStart))&gt;0)+(Jeremy!F21=$C21)*ISNUMBER(Jeremy!G21)*(((Jeremy!G21+VisitHrs/24&gt;DayEnd)+(Jeremy!G21&lt;DayStart))&gt;0)+('Test Patient'!B21=$C21)*ISNUMBER('Test Patient'!C21)*((('Test Patient'!C21+VisitHrs/24&gt;DayEnd)+('Test Patient'!C21&lt;DayStart))&gt;0)+('Test Patient'!D21=$C21)*ISNUMBER('Test Patient'!E21)*((('Test Patient'!E21+VisitHrs/24&gt;DayEnd)+('Test Patient'!E21&lt;DayStart))&gt;0)+('Test Patient'!F21=$C21)*ISNUMBER('Test Patient'!G21)*((('Test Patient'!G21+VisitHrs/24&gt;DayEnd)+('Test Patient'!G21&lt;DayStart))&gt;0))+((('Anita Klesch'!$C21=$C21)+('Test Patient 2'!$C21=$C21))-1)+($B21=$C21)*($C21&lt;&gt;"")&gt;=1,1,0),0)</f>
        <v>0</v>
      </c>
      <c r="L21" s="12"/>
      <c r="M21" s="12">
        <f t="shared" si="1"/>
        <v>0</v>
      </c>
      <c r="N21" s="12">
        <f t="shared" si="2"/>
        <v>0</v>
      </c>
    </row>
    <row r="22" spans="1:14" x14ac:dyDescent="0.2">
      <c r="A22" s="2">
        <f t="shared" si="3"/>
        <v>46228</v>
      </c>
      <c r="B22" s="19"/>
      <c r="C22" s="19"/>
      <c r="H22" s="12">
        <f t="shared" si="0"/>
        <v>1</v>
      </c>
      <c r="I22" s="12"/>
      <c r="J22" s="12">
        <f>IF(AND($H22=1,$B22&lt;&gt;""),IF((('Lucy Levene'!B22=$B22)*ISNUMBER('Lucy Levene'!C22)*('Lucy Levene'!C22&lt;DayEnd)*('Lucy Levene'!C22+VisitHrs/24&gt;DayStart)+('Lucy Levene'!D22=$B22)*ISNUMBER('Lucy Levene'!E22)*('Lucy Levene'!E22&lt;DayEnd)*('Lucy Levene'!E22+VisitHrs/24&gt;DayStart)+('Lucy Levene'!F22=$B22)*ISNUMBER('Lucy Levene'!G22)*('Lucy Levene'!G22&lt;DayEnd)*('Lucy Levene'!G22+VisitHrs/24&gt;DayStart)+('Tom Bock'!B22=$B22)*ISNUMBER('Tom Bock'!C22)*('Tom Bock'!C22&lt;DayEnd)*('Tom Bock'!C22+VisitHrs/24&gt;DayStart)+('Tom Bock'!D22=$B22)*ISNUMBER('Tom Bock'!E22)*('Tom Bock'!E22&lt;DayEnd)*('Tom Bock'!E22+VisitHrs/24&gt;DayStart)+('Tom Bock'!F22=$B22)*ISNUMBER('Tom Bock'!G22)*('Tom Bock'!G22&lt;DayEnd)*('Tom Bock'!G22+VisitHrs/24&gt;DayStart)+(Jeremy!B22=$B22)*ISNUMBER(Jeremy!C22)*(Jeremy!C22&lt;DayEnd)*(Jeremy!C22+VisitHrs/24&gt;DayStart)+(Jeremy!D22=$B22)*ISNUMBER(Jeremy!E22)*(Jeremy!E22&lt;DayEnd)*(Jeremy!E22+VisitHrs/24&gt;DayStart)+(Jeremy!F22=$B22)*ISNUMBER(Jeremy!G22)*(Jeremy!G22&lt;DayEnd)*(Jeremy!G22+VisitHrs/24&gt;DayStart)+('Test Patient'!B22=$B22)*ISNUMBER('Test Patient'!C22)*('Test Patient'!C22&lt;DayEnd)*('Test Patient'!C22+VisitHrs/24&gt;DayStart)+('Test Patient'!D22=$B22)*ISNUMBER('Test Patient'!E22)*('Test Patient'!E22&lt;DayEnd)*('Test Patient'!E22+VisitHrs/24&gt;DayStart)+('Test Patient'!F22=$B22)*ISNUMBER('Test Patient'!G22)*('Test Patient'!G22&lt;DayEnd)*('Test Patient'!G22+VisitHrs/24&gt;DayStart))+((('Anita Klesch'!$B22=$B22)+('Test Patient 2'!$B22=$B22))-1)+($C22=$B22)*($B22&lt;&gt;"")&gt;=1,1,0),0)</f>
        <v>0</v>
      </c>
      <c r="K22" s="12">
        <f>IF(AND($H22=1,$C22&lt;&gt;""),IF((('Lucy Levene'!B22=$C22)*ISNUMBER('Lucy Levene'!C22)*((('Lucy Levene'!C22+VisitHrs/24&gt;DayEnd)+('Lucy Levene'!C22&lt;DayStart))&gt;0)+('Lucy Levene'!D22=$C22)*ISNUMBER('Lucy Levene'!E22)*((('Lucy Levene'!E22+VisitHrs/24&gt;DayEnd)+('Lucy Levene'!E22&lt;DayStart))&gt;0)+('Lucy Levene'!F22=$C22)*ISNUMBER('Lucy Levene'!G22)*((('Lucy Levene'!G22+VisitHrs/24&gt;DayEnd)+('Lucy Levene'!G22&lt;DayStart))&gt;0)+('Tom Bock'!B22=$C22)*ISNUMBER('Tom Bock'!C22)*((('Tom Bock'!C22+VisitHrs/24&gt;DayEnd)+('Tom Bock'!C22&lt;DayStart))&gt;0)+('Tom Bock'!D22=$C22)*ISNUMBER('Tom Bock'!E22)*((('Tom Bock'!E22+VisitHrs/24&gt;DayEnd)+('Tom Bock'!E22&lt;DayStart))&gt;0)+('Tom Bock'!F22=$C22)*ISNUMBER('Tom Bock'!G22)*((('Tom Bock'!G22+VisitHrs/24&gt;DayEnd)+('Tom Bock'!G22&lt;DayStart))&gt;0)+(Jeremy!B22=$C22)*ISNUMBER(Jeremy!C22)*(((Jeremy!C22+VisitHrs/24&gt;DayEnd)+(Jeremy!C22&lt;DayStart))&gt;0)+(Jeremy!D22=$C22)*ISNUMBER(Jeremy!E22)*(((Jeremy!E22+VisitHrs/24&gt;DayEnd)+(Jeremy!E22&lt;DayStart))&gt;0)+(Jeremy!F22=$C22)*ISNUMBER(Jeremy!G22)*(((Jeremy!G22+VisitHrs/24&gt;DayEnd)+(Jeremy!G22&lt;DayStart))&gt;0)+('Test Patient'!B22=$C22)*ISNUMBER('Test Patient'!C22)*((('Test Patient'!C22+VisitHrs/24&gt;DayEnd)+('Test Patient'!C22&lt;DayStart))&gt;0)+('Test Patient'!D22=$C22)*ISNUMBER('Test Patient'!E22)*((('Test Patient'!E22+VisitHrs/24&gt;DayEnd)+('Test Patient'!E22&lt;DayStart))&gt;0)+('Test Patient'!F22=$C22)*ISNUMBER('Test Patient'!G22)*((('Test Patient'!G22+VisitHrs/24&gt;DayEnd)+('Test Patient'!G22&lt;DayStart))&gt;0))+((('Anita Klesch'!$C22=$C22)+('Test Patient 2'!$C22=$C22))-1)+($B22=$C22)*($C22&lt;&gt;"")&gt;=1,1,0),0)</f>
        <v>0</v>
      </c>
      <c r="L22" s="12"/>
      <c r="M22" s="12">
        <f t="shared" si="1"/>
        <v>0</v>
      </c>
      <c r="N22" s="12">
        <f t="shared" si="2"/>
        <v>0</v>
      </c>
    </row>
    <row r="23" spans="1:14" x14ac:dyDescent="0.2">
      <c r="A23" s="2">
        <f t="shared" si="3"/>
        <v>46229</v>
      </c>
      <c r="B23" s="19"/>
      <c r="C23" s="19"/>
      <c r="H23" s="12">
        <f t="shared" si="0"/>
        <v>1</v>
      </c>
      <c r="I23" s="12"/>
      <c r="J23" s="12">
        <f>IF(AND($H23=1,$B23&lt;&gt;""),IF((('Lucy Levene'!B23=$B23)*ISNUMBER('Lucy Levene'!C23)*('Lucy Levene'!C23&lt;DayEnd)*('Lucy Levene'!C23+VisitHrs/24&gt;DayStart)+('Lucy Levene'!D23=$B23)*ISNUMBER('Lucy Levene'!E23)*('Lucy Levene'!E23&lt;DayEnd)*('Lucy Levene'!E23+VisitHrs/24&gt;DayStart)+('Lucy Levene'!F23=$B23)*ISNUMBER('Lucy Levene'!G23)*('Lucy Levene'!G23&lt;DayEnd)*('Lucy Levene'!G23+VisitHrs/24&gt;DayStart)+('Tom Bock'!B23=$B23)*ISNUMBER('Tom Bock'!C23)*('Tom Bock'!C23&lt;DayEnd)*('Tom Bock'!C23+VisitHrs/24&gt;DayStart)+('Tom Bock'!D23=$B23)*ISNUMBER('Tom Bock'!E23)*('Tom Bock'!E23&lt;DayEnd)*('Tom Bock'!E23+VisitHrs/24&gt;DayStart)+('Tom Bock'!F23=$B23)*ISNUMBER('Tom Bock'!G23)*('Tom Bock'!G23&lt;DayEnd)*('Tom Bock'!G23+VisitHrs/24&gt;DayStart)+(Jeremy!B23=$B23)*ISNUMBER(Jeremy!C23)*(Jeremy!C23&lt;DayEnd)*(Jeremy!C23+VisitHrs/24&gt;DayStart)+(Jeremy!D23=$B23)*ISNUMBER(Jeremy!E23)*(Jeremy!E23&lt;DayEnd)*(Jeremy!E23+VisitHrs/24&gt;DayStart)+(Jeremy!F23=$B23)*ISNUMBER(Jeremy!G23)*(Jeremy!G23&lt;DayEnd)*(Jeremy!G23+VisitHrs/24&gt;DayStart)+('Test Patient'!B23=$B23)*ISNUMBER('Test Patient'!C23)*('Test Patient'!C23&lt;DayEnd)*('Test Patient'!C23+VisitHrs/24&gt;DayStart)+('Test Patient'!D23=$B23)*ISNUMBER('Test Patient'!E23)*('Test Patient'!E23&lt;DayEnd)*('Test Patient'!E23+VisitHrs/24&gt;DayStart)+('Test Patient'!F23=$B23)*ISNUMBER('Test Patient'!G23)*('Test Patient'!G23&lt;DayEnd)*('Test Patient'!G23+VisitHrs/24&gt;DayStart))+((('Anita Klesch'!$B23=$B23)+('Test Patient 2'!$B23=$B23))-1)+($C23=$B23)*($B23&lt;&gt;"")&gt;=1,1,0),0)</f>
        <v>0</v>
      </c>
      <c r="K23" s="12">
        <f>IF(AND($H23=1,$C23&lt;&gt;""),IF((('Lucy Levene'!B23=$C23)*ISNUMBER('Lucy Levene'!C23)*((('Lucy Levene'!C23+VisitHrs/24&gt;DayEnd)+('Lucy Levene'!C23&lt;DayStart))&gt;0)+('Lucy Levene'!D23=$C23)*ISNUMBER('Lucy Levene'!E23)*((('Lucy Levene'!E23+VisitHrs/24&gt;DayEnd)+('Lucy Levene'!E23&lt;DayStart))&gt;0)+('Lucy Levene'!F23=$C23)*ISNUMBER('Lucy Levene'!G23)*((('Lucy Levene'!G23+VisitHrs/24&gt;DayEnd)+('Lucy Levene'!G23&lt;DayStart))&gt;0)+('Tom Bock'!B23=$C23)*ISNUMBER('Tom Bock'!C23)*((('Tom Bock'!C23+VisitHrs/24&gt;DayEnd)+('Tom Bock'!C23&lt;DayStart))&gt;0)+('Tom Bock'!D23=$C23)*ISNUMBER('Tom Bock'!E23)*((('Tom Bock'!E23+VisitHrs/24&gt;DayEnd)+('Tom Bock'!E23&lt;DayStart))&gt;0)+('Tom Bock'!F23=$C23)*ISNUMBER('Tom Bock'!G23)*((('Tom Bock'!G23+VisitHrs/24&gt;DayEnd)+('Tom Bock'!G23&lt;DayStart))&gt;0)+(Jeremy!B23=$C23)*ISNUMBER(Jeremy!C23)*(((Jeremy!C23+VisitHrs/24&gt;DayEnd)+(Jeremy!C23&lt;DayStart))&gt;0)+(Jeremy!D23=$C23)*ISNUMBER(Jeremy!E23)*(((Jeremy!E23+VisitHrs/24&gt;DayEnd)+(Jeremy!E23&lt;DayStart))&gt;0)+(Jeremy!F23=$C23)*ISNUMBER(Jeremy!G23)*(((Jeremy!G23+VisitHrs/24&gt;DayEnd)+(Jeremy!G23&lt;DayStart))&gt;0)+('Test Patient'!B23=$C23)*ISNUMBER('Test Patient'!C23)*((('Test Patient'!C23+VisitHrs/24&gt;DayEnd)+('Test Patient'!C23&lt;DayStart))&gt;0)+('Test Patient'!D23=$C23)*ISNUMBER('Test Patient'!E23)*((('Test Patient'!E23+VisitHrs/24&gt;DayEnd)+('Test Patient'!E23&lt;DayStart))&gt;0)+('Test Patient'!F23=$C23)*ISNUMBER('Test Patient'!G23)*((('Test Patient'!G23+VisitHrs/24&gt;DayEnd)+('Test Patient'!G23&lt;DayStart))&gt;0))+((('Anita Klesch'!$C23=$C23)+('Test Patient 2'!$C23=$C23))-1)+($B23=$C23)*($C23&lt;&gt;"")&gt;=1,1,0),0)</f>
        <v>0</v>
      </c>
      <c r="L23" s="12"/>
      <c r="M23" s="12">
        <f t="shared" si="1"/>
        <v>0</v>
      </c>
      <c r="N23" s="12">
        <f t="shared" si="2"/>
        <v>0</v>
      </c>
    </row>
    <row r="24" spans="1:14" x14ac:dyDescent="0.2">
      <c r="A24" s="2">
        <f t="shared" si="3"/>
        <v>46230</v>
      </c>
      <c r="B24" s="19"/>
      <c r="C24" s="19"/>
      <c r="H24" s="12">
        <f t="shared" si="0"/>
        <v>1</v>
      </c>
      <c r="I24" s="12"/>
      <c r="J24" s="12">
        <f>IF(AND($H24=1,$B24&lt;&gt;""),IF((('Lucy Levene'!B24=$B24)*ISNUMBER('Lucy Levene'!C24)*('Lucy Levene'!C24&lt;DayEnd)*('Lucy Levene'!C24+VisitHrs/24&gt;DayStart)+('Lucy Levene'!D24=$B24)*ISNUMBER('Lucy Levene'!E24)*('Lucy Levene'!E24&lt;DayEnd)*('Lucy Levene'!E24+VisitHrs/24&gt;DayStart)+('Lucy Levene'!F24=$B24)*ISNUMBER('Lucy Levene'!G24)*('Lucy Levene'!G24&lt;DayEnd)*('Lucy Levene'!G24+VisitHrs/24&gt;DayStart)+('Tom Bock'!B24=$B24)*ISNUMBER('Tom Bock'!C24)*('Tom Bock'!C24&lt;DayEnd)*('Tom Bock'!C24+VisitHrs/24&gt;DayStart)+('Tom Bock'!D24=$B24)*ISNUMBER('Tom Bock'!E24)*('Tom Bock'!E24&lt;DayEnd)*('Tom Bock'!E24+VisitHrs/24&gt;DayStart)+('Tom Bock'!F24=$B24)*ISNUMBER('Tom Bock'!G24)*('Tom Bock'!G24&lt;DayEnd)*('Tom Bock'!G24+VisitHrs/24&gt;DayStart)+(Jeremy!B24=$B24)*ISNUMBER(Jeremy!C24)*(Jeremy!C24&lt;DayEnd)*(Jeremy!C24+VisitHrs/24&gt;DayStart)+(Jeremy!D24=$B24)*ISNUMBER(Jeremy!E24)*(Jeremy!E24&lt;DayEnd)*(Jeremy!E24+VisitHrs/24&gt;DayStart)+(Jeremy!F24=$B24)*ISNUMBER(Jeremy!G24)*(Jeremy!G24&lt;DayEnd)*(Jeremy!G24+VisitHrs/24&gt;DayStart)+('Test Patient'!B24=$B24)*ISNUMBER('Test Patient'!C24)*('Test Patient'!C24&lt;DayEnd)*('Test Patient'!C24+VisitHrs/24&gt;DayStart)+('Test Patient'!D24=$B24)*ISNUMBER('Test Patient'!E24)*('Test Patient'!E24&lt;DayEnd)*('Test Patient'!E24+VisitHrs/24&gt;DayStart)+('Test Patient'!F24=$B24)*ISNUMBER('Test Patient'!G24)*('Test Patient'!G24&lt;DayEnd)*('Test Patient'!G24+VisitHrs/24&gt;DayStart))+((('Anita Klesch'!$B24=$B24)+('Test Patient 2'!$B24=$B24))-1)+($C24=$B24)*($B24&lt;&gt;"")&gt;=1,1,0),0)</f>
        <v>0</v>
      </c>
      <c r="K24" s="12">
        <f>IF(AND($H24=1,$C24&lt;&gt;""),IF((('Lucy Levene'!B24=$C24)*ISNUMBER('Lucy Levene'!C24)*((('Lucy Levene'!C24+VisitHrs/24&gt;DayEnd)+('Lucy Levene'!C24&lt;DayStart))&gt;0)+('Lucy Levene'!D24=$C24)*ISNUMBER('Lucy Levene'!E24)*((('Lucy Levene'!E24+VisitHrs/24&gt;DayEnd)+('Lucy Levene'!E24&lt;DayStart))&gt;0)+('Lucy Levene'!F24=$C24)*ISNUMBER('Lucy Levene'!G24)*((('Lucy Levene'!G24+VisitHrs/24&gt;DayEnd)+('Lucy Levene'!G24&lt;DayStart))&gt;0)+('Tom Bock'!B24=$C24)*ISNUMBER('Tom Bock'!C24)*((('Tom Bock'!C24+VisitHrs/24&gt;DayEnd)+('Tom Bock'!C24&lt;DayStart))&gt;0)+('Tom Bock'!D24=$C24)*ISNUMBER('Tom Bock'!E24)*((('Tom Bock'!E24+VisitHrs/24&gt;DayEnd)+('Tom Bock'!E24&lt;DayStart))&gt;0)+('Tom Bock'!F24=$C24)*ISNUMBER('Tom Bock'!G24)*((('Tom Bock'!G24+VisitHrs/24&gt;DayEnd)+('Tom Bock'!G24&lt;DayStart))&gt;0)+(Jeremy!B24=$C24)*ISNUMBER(Jeremy!C24)*(((Jeremy!C24+VisitHrs/24&gt;DayEnd)+(Jeremy!C24&lt;DayStart))&gt;0)+(Jeremy!D24=$C24)*ISNUMBER(Jeremy!E24)*(((Jeremy!E24+VisitHrs/24&gt;DayEnd)+(Jeremy!E24&lt;DayStart))&gt;0)+(Jeremy!F24=$C24)*ISNUMBER(Jeremy!G24)*(((Jeremy!G24+VisitHrs/24&gt;DayEnd)+(Jeremy!G24&lt;DayStart))&gt;0)+('Test Patient'!B24=$C24)*ISNUMBER('Test Patient'!C24)*((('Test Patient'!C24+VisitHrs/24&gt;DayEnd)+('Test Patient'!C24&lt;DayStart))&gt;0)+('Test Patient'!D24=$C24)*ISNUMBER('Test Patient'!E24)*((('Test Patient'!E24+VisitHrs/24&gt;DayEnd)+('Test Patient'!E24&lt;DayStart))&gt;0)+('Test Patient'!F24=$C24)*ISNUMBER('Test Patient'!G24)*((('Test Patient'!G24+VisitHrs/24&gt;DayEnd)+('Test Patient'!G24&lt;DayStart))&gt;0))+((('Anita Klesch'!$C24=$C24)+('Test Patient 2'!$C24=$C24))-1)+($B24=$C24)*($C24&lt;&gt;"")&gt;=1,1,0),0)</f>
        <v>0</v>
      </c>
      <c r="L24" s="12"/>
      <c r="M24" s="12">
        <f t="shared" si="1"/>
        <v>0</v>
      </c>
      <c r="N24" s="12">
        <f t="shared" si="2"/>
        <v>0</v>
      </c>
    </row>
    <row r="25" spans="1:14" x14ac:dyDescent="0.2">
      <c r="A25" s="2">
        <f t="shared" si="3"/>
        <v>46231</v>
      </c>
      <c r="B25" s="19"/>
      <c r="C25" s="19"/>
      <c r="H25" s="12">
        <f t="shared" si="0"/>
        <v>1</v>
      </c>
      <c r="I25" s="12"/>
      <c r="J25" s="12">
        <f>IF(AND($H25=1,$B25&lt;&gt;""),IF((('Lucy Levene'!B25=$B25)*ISNUMBER('Lucy Levene'!C25)*('Lucy Levene'!C25&lt;DayEnd)*('Lucy Levene'!C25+VisitHrs/24&gt;DayStart)+('Lucy Levene'!D25=$B25)*ISNUMBER('Lucy Levene'!E25)*('Lucy Levene'!E25&lt;DayEnd)*('Lucy Levene'!E25+VisitHrs/24&gt;DayStart)+('Lucy Levene'!F25=$B25)*ISNUMBER('Lucy Levene'!G25)*('Lucy Levene'!G25&lt;DayEnd)*('Lucy Levene'!G25+VisitHrs/24&gt;DayStart)+('Tom Bock'!B25=$B25)*ISNUMBER('Tom Bock'!C25)*('Tom Bock'!C25&lt;DayEnd)*('Tom Bock'!C25+VisitHrs/24&gt;DayStart)+('Tom Bock'!D25=$B25)*ISNUMBER('Tom Bock'!E25)*('Tom Bock'!E25&lt;DayEnd)*('Tom Bock'!E25+VisitHrs/24&gt;DayStart)+('Tom Bock'!F25=$B25)*ISNUMBER('Tom Bock'!G25)*('Tom Bock'!G25&lt;DayEnd)*('Tom Bock'!G25+VisitHrs/24&gt;DayStart)+(Jeremy!B25=$B25)*ISNUMBER(Jeremy!C25)*(Jeremy!C25&lt;DayEnd)*(Jeremy!C25+VisitHrs/24&gt;DayStart)+(Jeremy!D25=$B25)*ISNUMBER(Jeremy!E25)*(Jeremy!E25&lt;DayEnd)*(Jeremy!E25+VisitHrs/24&gt;DayStart)+(Jeremy!F25=$B25)*ISNUMBER(Jeremy!G25)*(Jeremy!G25&lt;DayEnd)*(Jeremy!G25+VisitHrs/24&gt;DayStart)+('Test Patient'!B25=$B25)*ISNUMBER('Test Patient'!C25)*('Test Patient'!C25&lt;DayEnd)*('Test Patient'!C25+VisitHrs/24&gt;DayStart)+('Test Patient'!D25=$B25)*ISNUMBER('Test Patient'!E25)*('Test Patient'!E25&lt;DayEnd)*('Test Patient'!E25+VisitHrs/24&gt;DayStart)+('Test Patient'!F25=$B25)*ISNUMBER('Test Patient'!G25)*('Test Patient'!G25&lt;DayEnd)*('Test Patient'!G25+VisitHrs/24&gt;DayStart))+((('Anita Klesch'!$B25=$B25)+('Test Patient 2'!$B25=$B25))-1)+($C25=$B25)*($B25&lt;&gt;"")&gt;=1,1,0),0)</f>
        <v>0</v>
      </c>
      <c r="K25" s="12">
        <f>IF(AND($H25=1,$C25&lt;&gt;""),IF((('Lucy Levene'!B25=$C25)*ISNUMBER('Lucy Levene'!C25)*((('Lucy Levene'!C25+VisitHrs/24&gt;DayEnd)+('Lucy Levene'!C25&lt;DayStart))&gt;0)+('Lucy Levene'!D25=$C25)*ISNUMBER('Lucy Levene'!E25)*((('Lucy Levene'!E25+VisitHrs/24&gt;DayEnd)+('Lucy Levene'!E25&lt;DayStart))&gt;0)+('Lucy Levene'!F25=$C25)*ISNUMBER('Lucy Levene'!G25)*((('Lucy Levene'!G25+VisitHrs/24&gt;DayEnd)+('Lucy Levene'!G25&lt;DayStart))&gt;0)+('Tom Bock'!B25=$C25)*ISNUMBER('Tom Bock'!C25)*((('Tom Bock'!C25+VisitHrs/24&gt;DayEnd)+('Tom Bock'!C25&lt;DayStart))&gt;0)+('Tom Bock'!D25=$C25)*ISNUMBER('Tom Bock'!E25)*((('Tom Bock'!E25+VisitHrs/24&gt;DayEnd)+('Tom Bock'!E25&lt;DayStart))&gt;0)+('Tom Bock'!F25=$C25)*ISNUMBER('Tom Bock'!G25)*((('Tom Bock'!G25+VisitHrs/24&gt;DayEnd)+('Tom Bock'!G25&lt;DayStart))&gt;0)+(Jeremy!B25=$C25)*ISNUMBER(Jeremy!C25)*(((Jeremy!C25+VisitHrs/24&gt;DayEnd)+(Jeremy!C25&lt;DayStart))&gt;0)+(Jeremy!D25=$C25)*ISNUMBER(Jeremy!E25)*(((Jeremy!E25+VisitHrs/24&gt;DayEnd)+(Jeremy!E25&lt;DayStart))&gt;0)+(Jeremy!F25=$C25)*ISNUMBER(Jeremy!G25)*(((Jeremy!G25+VisitHrs/24&gt;DayEnd)+(Jeremy!G25&lt;DayStart))&gt;0)+('Test Patient'!B25=$C25)*ISNUMBER('Test Patient'!C25)*((('Test Patient'!C25+VisitHrs/24&gt;DayEnd)+('Test Patient'!C25&lt;DayStart))&gt;0)+('Test Patient'!D25=$C25)*ISNUMBER('Test Patient'!E25)*((('Test Patient'!E25+VisitHrs/24&gt;DayEnd)+('Test Patient'!E25&lt;DayStart))&gt;0)+('Test Patient'!F25=$C25)*ISNUMBER('Test Patient'!G25)*((('Test Patient'!G25+VisitHrs/24&gt;DayEnd)+('Test Patient'!G25&lt;DayStart))&gt;0))+((('Anita Klesch'!$C25=$C25)+('Test Patient 2'!$C25=$C25))-1)+($B25=$C25)*($C25&lt;&gt;"")&gt;=1,1,0),0)</f>
        <v>0</v>
      </c>
      <c r="L25" s="12"/>
      <c r="M25" s="12">
        <f t="shared" si="1"/>
        <v>0</v>
      </c>
      <c r="N25" s="12">
        <f t="shared" si="2"/>
        <v>0</v>
      </c>
    </row>
    <row r="26" spans="1:14" x14ac:dyDescent="0.2">
      <c r="A26" s="2">
        <f t="shared" si="3"/>
        <v>46232</v>
      </c>
      <c r="B26" s="19"/>
      <c r="C26" s="19"/>
      <c r="H26" s="12">
        <f t="shared" si="0"/>
        <v>1</v>
      </c>
      <c r="I26" s="12"/>
      <c r="J26" s="12">
        <f>IF(AND($H26=1,$B26&lt;&gt;""),IF((('Lucy Levene'!B26=$B26)*ISNUMBER('Lucy Levene'!C26)*('Lucy Levene'!C26&lt;DayEnd)*('Lucy Levene'!C26+VisitHrs/24&gt;DayStart)+('Lucy Levene'!D26=$B26)*ISNUMBER('Lucy Levene'!E26)*('Lucy Levene'!E26&lt;DayEnd)*('Lucy Levene'!E26+VisitHrs/24&gt;DayStart)+('Lucy Levene'!F26=$B26)*ISNUMBER('Lucy Levene'!G26)*('Lucy Levene'!G26&lt;DayEnd)*('Lucy Levene'!G26+VisitHrs/24&gt;DayStart)+('Tom Bock'!B26=$B26)*ISNUMBER('Tom Bock'!C26)*('Tom Bock'!C26&lt;DayEnd)*('Tom Bock'!C26+VisitHrs/24&gt;DayStart)+('Tom Bock'!D26=$B26)*ISNUMBER('Tom Bock'!E26)*('Tom Bock'!E26&lt;DayEnd)*('Tom Bock'!E26+VisitHrs/24&gt;DayStart)+('Tom Bock'!F26=$B26)*ISNUMBER('Tom Bock'!G26)*('Tom Bock'!G26&lt;DayEnd)*('Tom Bock'!G26+VisitHrs/24&gt;DayStart)+(Jeremy!B26=$B26)*ISNUMBER(Jeremy!C26)*(Jeremy!C26&lt;DayEnd)*(Jeremy!C26+VisitHrs/24&gt;DayStart)+(Jeremy!D26=$B26)*ISNUMBER(Jeremy!E26)*(Jeremy!E26&lt;DayEnd)*(Jeremy!E26+VisitHrs/24&gt;DayStart)+(Jeremy!F26=$B26)*ISNUMBER(Jeremy!G26)*(Jeremy!G26&lt;DayEnd)*(Jeremy!G26+VisitHrs/24&gt;DayStart)+('Test Patient'!B26=$B26)*ISNUMBER('Test Patient'!C26)*('Test Patient'!C26&lt;DayEnd)*('Test Patient'!C26+VisitHrs/24&gt;DayStart)+('Test Patient'!D26=$B26)*ISNUMBER('Test Patient'!E26)*('Test Patient'!E26&lt;DayEnd)*('Test Patient'!E26+VisitHrs/24&gt;DayStart)+('Test Patient'!F26=$B26)*ISNUMBER('Test Patient'!G26)*('Test Patient'!G26&lt;DayEnd)*('Test Patient'!G26+VisitHrs/24&gt;DayStart))+((('Anita Klesch'!$B26=$B26)+('Test Patient 2'!$B26=$B26))-1)+($C26=$B26)*($B26&lt;&gt;"")&gt;=1,1,0),0)</f>
        <v>0</v>
      </c>
      <c r="K26" s="12">
        <f>IF(AND($H26=1,$C26&lt;&gt;""),IF((('Lucy Levene'!B26=$C26)*ISNUMBER('Lucy Levene'!C26)*((('Lucy Levene'!C26+VisitHrs/24&gt;DayEnd)+('Lucy Levene'!C26&lt;DayStart))&gt;0)+('Lucy Levene'!D26=$C26)*ISNUMBER('Lucy Levene'!E26)*((('Lucy Levene'!E26+VisitHrs/24&gt;DayEnd)+('Lucy Levene'!E26&lt;DayStart))&gt;0)+('Lucy Levene'!F26=$C26)*ISNUMBER('Lucy Levene'!G26)*((('Lucy Levene'!G26+VisitHrs/24&gt;DayEnd)+('Lucy Levene'!G26&lt;DayStart))&gt;0)+('Tom Bock'!B26=$C26)*ISNUMBER('Tom Bock'!C26)*((('Tom Bock'!C26+VisitHrs/24&gt;DayEnd)+('Tom Bock'!C26&lt;DayStart))&gt;0)+('Tom Bock'!D26=$C26)*ISNUMBER('Tom Bock'!E26)*((('Tom Bock'!E26+VisitHrs/24&gt;DayEnd)+('Tom Bock'!E26&lt;DayStart))&gt;0)+('Tom Bock'!F26=$C26)*ISNUMBER('Tom Bock'!G26)*((('Tom Bock'!G26+VisitHrs/24&gt;DayEnd)+('Tom Bock'!G26&lt;DayStart))&gt;0)+(Jeremy!B26=$C26)*ISNUMBER(Jeremy!C26)*(((Jeremy!C26+VisitHrs/24&gt;DayEnd)+(Jeremy!C26&lt;DayStart))&gt;0)+(Jeremy!D26=$C26)*ISNUMBER(Jeremy!E26)*(((Jeremy!E26+VisitHrs/24&gt;DayEnd)+(Jeremy!E26&lt;DayStart))&gt;0)+(Jeremy!F26=$C26)*ISNUMBER(Jeremy!G26)*(((Jeremy!G26+VisitHrs/24&gt;DayEnd)+(Jeremy!G26&lt;DayStart))&gt;0)+('Test Patient'!B26=$C26)*ISNUMBER('Test Patient'!C26)*((('Test Patient'!C26+VisitHrs/24&gt;DayEnd)+('Test Patient'!C26&lt;DayStart))&gt;0)+('Test Patient'!D26=$C26)*ISNUMBER('Test Patient'!E26)*((('Test Patient'!E26+VisitHrs/24&gt;DayEnd)+('Test Patient'!E26&lt;DayStart))&gt;0)+('Test Patient'!F26=$C26)*ISNUMBER('Test Patient'!G26)*((('Test Patient'!G26+VisitHrs/24&gt;DayEnd)+('Test Patient'!G26&lt;DayStart))&gt;0))+((('Anita Klesch'!$C26=$C26)+('Test Patient 2'!$C26=$C26))-1)+($B26=$C26)*($C26&lt;&gt;"")&gt;=1,1,0),0)</f>
        <v>0</v>
      </c>
      <c r="L26" s="12"/>
      <c r="M26" s="12">
        <f t="shared" si="1"/>
        <v>0</v>
      </c>
      <c r="N26" s="12">
        <f t="shared" si="2"/>
        <v>0</v>
      </c>
    </row>
    <row r="27" spans="1:14" x14ac:dyDescent="0.2">
      <c r="A27" s="2">
        <f t="shared" si="3"/>
        <v>46233</v>
      </c>
      <c r="B27" s="19"/>
      <c r="C27" s="19"/>
      <c r="H27" s="12">
        <f t="shared" si="0"/>
        <v>1</v>
      </c>
      <c r="I27" s="12"/>
      <c r="J27" s="12">
        <f>IF(AND($H27=1,$B27&lt;&gt;""),IF((('Lucy Levene'!B27=$B27)*ISNUMBER('Lucy Levene'!C27)*('Lucy Levene'!C27&lt;DayEnd)*('Lucy Levene'!C27+VisitHrs/24&gt;DayStart)+('Lucy Levene'!D27=$B27)*ISNUMBER('Lucy Levene'!E27)*('Lucy Levene'!E27&lt;DayEnd)*('Lucy Levene'!E27+VisitHrs/24&gt;DayStart)+('Lucy Levene'!F27=$B27)*ISNUMBER('Lucy Levene'!G27)*('Lucy Levene'!G27&lt;DayEnd)*('Lucy Levene'!G27+VisitHrs/24&gt;DayStart)+('Tom Bock'!B27=$B27)*ISNUMBER('Tom Bock'!C27)*('Tom Bock'!C27&lt;DayEnd)*('Tom Bock'!C27+VisitHrs/24&gt;DayStart)+('Tom Bock'!D27=$B27)*ISNUMBER('Tom Bock'!E27)*('Tom Bock'!E27&lt;DayEnd)*('Tom Bock'!E27+VisitHrs/24&gt;DayStart)+('Tom Bock'!F27=$B27)*ISNUMBER('Tom Bock'!G27)*('Tom Bock'!G27&lt;DayEnd)*('Tom Bock'!G27+VisitHrs/24&gt;DayStart)+(Jeremy!B27=$B27)*ISNUMBER(Jeremy!C27)*(Jeremy!C27&lt;DayEnd)*(Jeremy!C27+VisitHrs/24&gt;DayStart)+(Jeremy!D27=$B27)*ISNUMBER(Jeremy!E27)*(Jeremy!E27&lt;DayEnd)*(Jeremy!E27+VisitHrs/24&gt;DayStart)+(Jeremy!F27=$B27)*ISNUMBER(Jeremy!G27)*(Jeremy!G27&lt;DayEnd)*(Jeremy!G27+VisitHrs/24&gt;DayStart)+('Test Patient'!B27=$B27)*ISNUMBER('Test Patient'!C27)*('Test Patient'!C27&lt;DayEnd)*('Test Patient'!C27+VisitHrs/24&gt;DayStart)+('Test Patient'!D27=$B27)*ISNUMBER('Test Patient'!E27)*('Test Patient'!E27&lt;DayEnd)*('Test Patient'!E27+VisitHrs/24&gt;DayStart)+('Test Patient'!F27=$B27)*ISNUMBER('Test Patient'!G27)*('Test Patient'!G27&lt;DayEnd)*('Test Patient'!G27+VisitHrs/24&gt;DayStart))+((('Anita Klesch'!$B27=$B27)+('Test Patient 2'!$B27=$B27))-1)+($C27=$B27)*($B27&lt;&gt;"")&gt;=1,1,0),0)</f>
        <v>0</v>
      </c>
      <c r="K27" s="12">
        <f>IF(AND($H27=1,$C27&lt;&gt;""),IF((('Lucy Levene'!B27=$C27)*ISNUMBER('Lucy Levene'!C27)*((('Lucy Levene'!C27+VisitHrs/24&gt;DayEnd)+('Lucy Levene'!C27&lt;DayStart))&gt;0)+('Lucy Levene'!D27=$C27)*ISNUMBER('Lucy Levene'!E27)*((('Lucy Levene'!E27+VisitHrs/24&gt;DayEnd)+('Lucy Levene'!E27&lt;DayStart))&gt;0)+('Lucy Levene'!F27=$C27)*ISNUMBER('Lucy Levene'!G27)*((('Lucy Levene'!G27+VisitHrs/24&gt;DayEnd)+('Lucy Levene'!G27&lt;DayStart))&gt;0)+('Tom Bock'!B27=$C27)*ISNUMBER('Tom Bock'!C27)*((('Tom Bock'!C27+VisitHrs/24&gt;DayEnd)+('Tom Bock'!C27&lt;DayStart))&gt;0)+('Tom Bock'!D27=$C27)*ISNUMBER('Tom Bock'!E27)*((('Tom Bock'!E27+VisitHrs/24&gt;DayEnd)+('Tom Bock'!E27&lt;DayStart))&gt;0)+('Tom Bock'!F27=$C27)*ISNUMBER('Tom Bock'!G27)*((('Tom Bock'!G27+VisitHrs/24&gt;DayEnd)+('Tom Bock'!G27&lt;DayStart))&gt;0)+(Jeremy!B27=$C27)*ISNUMBER(Jeremy!C27)*(((Jeremy!C27+VisitHrs/24&gt;DayEnd)+(Jeremy!C27&lt;DayStart))&gt;0)+(Jeremy!D27=$C27)*ISNUMBER(Jeremy!E27)*(((Jeremy!E27+VisitHrs/24&gt;DayEnd)+(Jeremy!E27&lt;DayStart))&gt;0)+(Jeremy!F27=$C27)*ISNUMBER(Jeremy!G27)*(((Jeremy!G27+VisitHrs/24&gt;DayEnd)+(Jeremy!G27&lt;DayStart))&gt;0)+('Test Patient'!B27=$C27)*ISNUMBER('Test Patient'!C27)*((('Test Patient'!C27+VisitHrs/24&gt;DayEnd)+('Test Patient'!C27&lt;DayStart))&gt;0)+('Test Patient'!D27=$C27)*ISNUMBER('Test Patient'!E27)*((('Test Patient'!E27+VisitHrs/24&gt;DayEnd)+('Test Patient'!E27&lt;DayStart))&gt;0)+('Test Patient'!F27=$C27)*ISNUMBER('Test Patient'!G27)*((('Test Patient'!G27+VisitHrs/24&gt;DayEnd)+('Test Patient'!G27&lt;DayStart))&gt;0))+((('Anita Klesch'!$C27=$C27)+('Test Patient 2'!$C27=$C27))-1)+($B27=$C27)*($C27&lt;&gt;"")&gt;=1,1,0),0)</f>
        <v>0</v>
      </c>
      <c r="L27" s="12"/>
      <c r="M27" s="12">
        <f t="shared" si="1"/>
        <v>0</v>
      </c>
      <c r="N27" s="12">
        <f t="shared" si="2"/>
        <v>0</v>
      </c>
    </row>
    <row r="28" spans="1:14" x14ac:dyDescent="0.2">
      <c r="A28" s="2">
        <f t="shared" si="3"/>
        <v>46234</v>
      </c>
      <c r="B28" s="19"/>
      <c r="C28" s="19"/>
      <c r="H28" s="12">
        <f t="shared" si="0"/>
        <v>1</v>
      </c>
      <c r="I28" s="12"/>
      <c r="J28" s="12">
        <f>IF(AND($H28=1,$B28&lt;&gt;""),IF((('Lucy Levene'!B28=$B28)*ISNUMBER('Lucy Levene'!C28)*('Lucy Levene'!C28&lt;DayEnd)*('Lucy Levene'!C28+VisitHrs/24&gt;DayStart)+('Lucy Levene'!D28=$B28)*ISNUMBER('Lucy Levene'!E28)*('Lucy Levene'!E28&lt;DayEnd)*('Lucy Levene'!E28+VisitHrs/24&gt;DayStart)+('Lucy Levene'!F28=$B28)*ISNUMBER('Lucy Levene'!G28)*('Lucy Levene'!G28&lt;DayEnd)*('Lucy Levene'!G28+VisitHrs/24&gt;DayStart)+('Tom Bock'!B28=$B28)*ISNUMBER('Tom Bock'!C28)*('Tom Bock'!C28&lt;DayEnd)*('Tom Bock'!C28+VisitHrs/24&gt;DayStart)+('Tom Bock'!D28=$B28)*ISNUMBER('Tom Bock'!E28)*('Tom Bock'!E28&lt;DayEnd)*('Tom Bock'!E28+VisitHrs/24&gt;DayStart)+('Tom Bock'!F28=$B28)*ISNUMBER('Tom Bock'!G28)*('Tom Bock'!G28&lt;DayEnd)*('Tom Bock'!G28+VisitHrs/24&gt;DayStart)+(Jeremy!B28=$B28)*ISNUMBER(Jeremy!C28)*(Jeremy!C28&lt;DayEnd)*(Jeremy!C28+VisitHrs/24&gt;DayStart)+(Jeremy!D28=$B28)*ISNUMBER(Jeremy!E28)*(Jeremy!E28&lt;DayEnd)*(Jeremy!E28+VisitHrs/24&gt;DayStart)+(Jeremy!F28=$B28)*ISNUMBER(Jeremy!G28)*(Jeremy!G28&lt;DayEnd)*(Jeremy!G28+VisitHrs/24&gt;DayStart)+('Test Patient'!B28=$B28)*ISNUMBER('Test Patient'!C28)*('Test Patient'!C28&lt;DayEnd)*('Test Patient'!C28+VisitHrs/24&gt;DayStart)+('Test Patient'!D28=$B28)*ISNUMBER('Test Patient'!E28)*('Test Patient'!E28&lt;DayEnd)*('Test Patient'!E28+VisitHrs/24&gt;DayStart)+('Test Patient'!F28=$B28)*ISNUMBER('Test Patient'!G28)*('Test Patient'!G28&lt;DayEnd)*('Test Patient'!G28+VisitHrs/24&gt;DayStart))+((('Anita Klesch'!$B28=$B28)+('Test Patient 2'!$B28=$B28))-1)+($C28=$B28)*($B28&lt;&gt;"")&gt;=1,1,0),0)</f>
        <v>0</v>
      </c>
      <c r="K28" s="12">
        <f>IF(AND($H28=1,$C28&lt;&gt;""),IF((('Lucy Levene'!B28=$C28)*ISNUMBER('Lucy Levene'!C28)*((('Lucy Levene'!C28+VisitHrs/24&gt;DayEnd)+('Lucy Levene'!C28&lt;DayStart))&gt;0)+('Lucy Levene'!D28=$C28)*ISNUMBER('Lucy Levene'!E28)*((('Lucy Levene'!E28+VisitHrs/24&gt;DayEnd)+('Lucy Levene'!E28&lt;DayStart))&gt;0)+('Lucy Levene'!F28=$C28)*ISNUMBER('Lucy Levene'!G28)*((('Lucy Levene'!G28+VisitHrs/24&gt;DayEnd)+('Lucy Levene'!G28&lt;DayStart))&gt;0)+('Tom Bock'!B28=$C28)*ISNUMBER('Tom Bock'!C28)*((('Tom Bock'!C28+VisitHrs/24&gt;DayEnd)+('Tom Bock'!C28&lt;DayStart))&gt;0)+('Tom Bock'!D28=$C28)*ISNUMBER('Tom Bock'!E28)*((('Tom Bock'!E28+VisitHrs/24&gt;DayEnd)+('Tom Bock'!E28&lt;DayStart))&gt;0)+('Tom Bock'!F28=$C28)*ISNUMBER('Tom Bock'!G28)*((('Tom Bock'!G28+VisitHrs/24&gt;DayEnd)+('Tom Bock'!G28&lt;DayStart))&gt;0)+(Jeremy!B28=$C28)*ISNUMBER(Jeremy!C28)*(((Jeremy!C28+VisitHrs/24&gt;DayEnd)+(Jeremy!C28&lt;DayStart))&gt;0)+(Jeremy!D28=$C28)*ISNUMBER(Jeremy!E28)*(((Jeremy!E28+VisitHrs/24&gt;DayEnd)+(Jeremy!E28&lt;DayStart))&gt;0)+(Jeremy!F28=$C28)*ISNUMBER(Jeremy!G28)*(((Jeremy!G28+VisitHrs/24&gt;DayEnd)+(Jeremy!G28&lt;DayStart))&gt;0)+('Test Patient'!B28=$C28)*ISNUMBER('Test Patient'!C28)*((('Test Patient'!C28+VisitHrs/24&gt;DayEnd)+('Test Patient'!C28&lt;DayStart))&gt;0)+('Test Patient'!D28=$C28)*ISNUMBER('Test Patient'!E28)*((('Test Patient'!E28+VisitHrs/24&gt;DayEnd)+('Test Patient'!E28&lt;DayStart))&gt;0)+('Test Patient'!F28=$C28)*ISNUMBER('Test Patient'!G28)*((('Test Patient'!G28+VisitHrs/24&gt;DayEnd)+('Test Patient'!G28&lt;DayStart))&gt;0))+((('Anita Klesch'!$C28=$C28)+('Test Patient 2'!$C28=$C28))-1)+($B28=$C28)*($C28&lt;&gt;"")&gt;=1,1,0),0)</f>
        <v>0</v>
      </c>
      <c r="L28" s="12"/>
      <c r="M28" s="12">
        <f t="shared" si="1"/>
        <v>0</v>
      </c>
      <c r="N28" s="12">
        <f t="shared" si="2"/>
        <v>0</v>
      </c>
    </row>
    <row r="29" spans="1:14" x14ac:dyDescent="0.2">
      <c r="A29" s="2">
        <f t="shared" si="3"/>
        <v>46235</v>
      </c>
      <c r="B29" s="19"/>
      <c r="C29" s="19"/>
      <c r="H29" s="12">
        <f t="shared" si="0"/>
        <v>1</v>
      </c>
      <c r="I29" s="12"/>
      <c r="J29" s="12">
        <f>IF(AND($H29=1,$B29&lt;&gt;""),IF((('Lucy Levene'!B29=$B29)*ISNUMBER('Lucy Levene'!C29)*('Lucy Levene'!C29&lt;DayEnd)*('Lucy Levene'!C29+VisitHrs/24&gt;DayStart)+('Lucy Levene'!D29=$B29)*ISNUMBER('Lucy Levene'!E29)*('Lucy Levene'!E29&lt;DayEnd)*('Lucy Levene'!E29+VisitHrs/24&gt;DayStart)+('Lucy Levene'!F29=$B29)*ISNUMBER('Lucy Levene'!G29)*('Lucy Levene'!G29&lt;DayEnd)*('Lucy Levene'!G29+VisitHrs/24&gt;DayStart)+('Tom Bock'!B29=$B29)*ISNUMBER('Tom Bock'!C29)*('Tom Bock'!C29&lt;DayEnd)*('Tom Bock'!C29+VisitHrs/24&gt;DayStart)+('Tom Bock'!D29=$B29)*ISNUMBER('Tom Bock'!E29)*('Tom Bock'!E29&lt;DayEnd)*('Tom Bock'!E29+VisitHrs/24&gt;DayStart)+('Tom Bock'!F29=$B29)*ISNUMBER('Tom Bock'!G29)*('Tom Bock'!G29&lt;DayEnd)*('Tom Bock'!G29+VisitHrs/24&gt;DayStart)+(Jeremy!B29=$B29)*ISNUMBER(Jeremy!C29)*(Jeremy!C29&lt;DayEnd)*(Jeremy!C29+VisitHrs/24&gt;DayStart)+(Jeremy!D29=$B29)*ISNUMBER(Jeremy!E29)*(Jeremy!E29&lt;DayEnd)*(Jeremy!E29+VisitHrs/24&gt;DayStart)+(Jeremy!F29=$B29)*ISNUMBER(Jeremy!G29)*(Jeremy!G29&lt;DayEnd)*(Jeremy!G29+VisitHrs/24&gt;DayStart)+('Test Patient'!B29=$B29)*ISNUMBER('Test Patient'!C29)*('Test Patient'!C29&lt;DayEnd)*('Test Patient'!C29+VisitHrs/24&gt;DayStart)+('Test Patient'!D29=$B29)*ISNUMBER('Test Patient'!E29)*('Test Patient'!E29&lt;DayEnd)*('Test Patient'!E29+VisitHrs/24&gt;DayStart)+('Test Patient'!F29=$B29)*ISNUMBER('Test Patient'!G29)*('Test Patient'!G29&lt;DayEnd)*('Test Patient'!G29+VisitHrs/24&gt;DayStart))+((('Anita Klesch'!$B29=$B29)+('Test Patient 2'!$B29=$B29))-1)+($C29=$B29)*($B29&lt;&gt;"")&gt;=1,1,0),0)</f>
        <v>0</v>
      </c>
      <c r="K29" s="12">
        <f>IF(AND($H29=1,$C29&lt;&gt;""),IF((('Lucy Levene'!B29=$C29)*ISNUMBER('Lucy Levene'!C29)*((('Lucy Levene'!C29+VisitHrs/24&gt;DayEnd)+('Lucy Levene'!C29&lt;DayStart))&gt;0)+('Lucy Levene'!D29=$C29)*ISNUMBER('Lucy Levene'!E29)*((('Lucy Levene'!E29+VisitHrs/24&gt;DayEnd)+('Lucy Levene'!E29&lt;DayStart))&gt;0)+('Lucy Levene'!F29=$C29)*ISNUMBER('Lucy Levene'!G29)*((('Lucy Levene'!G29+VisitHrs/24&gt;DayEnd)+('Lucy Levene'!G29&lt;DayStart))&gt;0)+('Tom Bock'!B29=$C29)*ISNUMBER('Tom Bock'!C29)*((('Tom Bock'!C29+VisitHrs/24&gt;DayEnd)+('Tom Bock'!C29&lt;DayStart))&gt;0)+('Tom Bock'!D29=$C29)*ISNUMBER('Tom Bock'!E29)*((('Tom Bock'!E29+VisitHrs/24&gt;DayEnd)+('Tom Bock'!E29&lt;DayStart))&gt;0)+('Tom Bock'!F29=$C29)*ISNUMBER('Tom Bock'!G29)*((('Tom Bock'!G29+VisitHrs/24&gt;DayEnd)+('Tom Bock'!G29&lt;DayStart))&gt;0)+(Jeremy!B29=$C29)*ISNUMBER(Jeremy!C29)*(((Jeremy!C29+VisitHrs/24&gt;DayEnd)+(Jeremy!C29&lt;DayStart))&gt;0)+(Jeremy!D29=$C29)*ISNUMBER(Jeremy!E29)*(((Jeremy!E29+VisitHrs/24&gt;DayEnd)+(Jeremy!E29&lt;DayStart))&gt;0)+(Jeremy!F29=$C29)*ISNUMBER(Jeremy!G29)*(((Jeremy!G29+VisitHrs/24&gt;DayEnd)+(Jeremy!G29&lt;DayStart))&gt;0)+('Test Patient'!B29=$C29)*ISNUMBER('Test Patient'!C29)*((('Test Patient'!C29+VisitHrs/24&gt;DayEnd)+('Test Patient'!C29&lt;DayStart))&gt;0)+('Test Patient'!D29=$C29)*ISNUMBER('Test Patient'!E29)*((('Test Patient'!E29+VisitHrs/24&gt;DayEnd)+('Test Patient'!E29&lt;DayStart))&gt;0)+('Test Patient'!F29=$C29)*ISNUMBER('Test Patient'!G29)*((('Test Patient'!G29+VisitHrs/24&gt;DayEnd)+('Test Patient'!G29&lt;DayStart))&gt;0))+((('Anita Klesch'!$C29=$C29)+('Test Patient 2'!$C29=$C29))-1)+($B29=$C29)*($C29&lt;&gt;"")&gt;=1,1,0),0)</f>
        <v>0</v>
      </c>
      <c r="L29" s="12"/>
      <c r="M29" s="12">
        <f t="shared" si="1"/>
        <v>0</v>
      </c>
      <c r="N29" s="12">
        <f t="shared" si="2"/>
        <v>0</v>
      </c>
    </row>
    <row r="30" spans="1:14" x14ac:dyDescent="0.2">
      <c r="A30" s="2">
        <f t="shared" si="3"/>
        <v>46236</v>
      </c>
      <c r="B30" s="19"/>
      <c r="C30" s="19"/>
      <c r="H30" s="12">
        <f t="shared" si="0"/>
        <v>1</v>
      </c>
      <c r="I30" s="12"/>
      <c r="J30" s="12">
        <f>IF(AND($H30=1,$B30&lt;&gt;""),IF((('Lucy Levene'!B30=$B30)*ISNUMBER('Lucy Levene'!C30)*('Lucy Levene'!C30&lt;DayEnd)*('Lucy Levene'!C30+VisitHrs/24&gt;DayStart)+('Lucy Levene'!D30=$B30)*ISNUMBER('Lucy Levene'!E30)*('Lucy Levene'!E30&lt;DayEnd)*('Lucy Levene'!E30+VisitHrs/24&gt;DayStart)+('Lucy Levene'!F30=$B30)*ISNUMBER('Lucy Levene'!G30)*('Lucy Levene'!G30&lt;DayEnd)*('Lucy Levene'!G30+VisitHrs/24&gt;DayStart)+('Tom Bock'!B30=$B30)*ISNUMBER('Tom Bock'!C30)*('Tom Bock'!C30&lt;DayEnd)*('Tom Bock'!C30+VisitHrs/24&gt;DayStart)+('Tom Bock'!D30=$B30)*ISNUMBER('Tom Bock'!E30)*('Tom Bock'!E30&lt;DayEnd)*('Tom Bock'!E30+VisitHrs/24&gt;DayStart)+('Tom Bock'!F30=$B30)*ISNUMBER('Tom Bock'!G30)*('Tom Bock'!G30&lt;DayEnd)*('Tom Bock'!G30+VisitHrs/24&gt;DayStart)+(Jeremy!B30=$B30)*ISNUMBER(Jeremy!C30)*(Jeremy!C30&lt;DayEnd)*(Jeremy!C30+VisitHrs/24&gt;DayStart)+(Jeremy!D30=$B30)*ISNUMBER(Jeremy!E30)*(Jeremy!E30&lt;DayEnd)*(Jeremy!E30+VisitHrs/24&gt;DayStart)+(Jeremy!F30=$B30)*ISNUMBER(Jeremy!G30)*(Jeremy!G30&lt;DayEnd)*(Jeremy!G30+VisitHrs/24&gt;DayStart)+('Test Patient'!B30=$B30)*ISNUMBER('Test Patient'!C30)*('Test Patient'!C30&lt;DayEnd)*('Test Patient'!C30+VisitHrs/24&gt;DayStart)+('Test Patient'!D30=$B30)*ISNUMBER('Test Patient'!E30)*('Test Patient'!E30&lt;DayEnd)*('Test Patient'!E30+VisitHrs/24&gt;DayStart)+('Test Patient'!F30=$B30)*ISNUMBER('Test Patient'!G30)*('Test Patient'!G30&lt;DayEnd)*('Test Patient'!G30+VisitHrs/24&gt;DayStart))+((('Anita Klesch'!$B30=$B30)+('Test Patient 2'!$B30=$B30))-1)+($C30=$B30)*($B30&lt;&gt;"")&gt;=1,1,0),0)</f>
        <v>0</v>
      </c>
      <c r="K30" s="12">
        <f>IF(AND($H30=1,$C30&lt;&gt;""),IF((('Lucy Levene'!B30=$C30)*ISNUMBER('Lucy Levene'!C30)*((('Lucy Levene'!C30+VisitHrs/24&gt;DayEnd)+('Lucy Levene'!C30&lt;DayStart))&gt;0)+('Lucy Levene'!D30=$C30)*ISNUMBER('Lucy Levene'!E30)*((('Lucy Levene'!E30+VisitHrs/24&gt;DayEnd)+('Lucy Levene'!E30&lt;DayStart))&gt;0)+('Lucy Levene'!F30=$C30)*ISNUMBER('Lucy Levene'!G30)*((('Lucy Levene'!G30+VisitHrs/24&gt;DayEnd)+('Lucy Levene'!G30&lt;DayStart))&gt;0)+('Tom Bock'!B30=$C30)*ISNUMBER('Tom Bock'!C30)*((('Tom Bock'!C30+VisitHrs/24&gt;DayEnd)+('Tom Bock'!C30&lt;DayStart))&gt;0)+('Tom Bock'!D30=$C30)*ISNUMBER('Tom Bock'!E30)*((('Tom Bock'!E30+VisitHrs/24&gt;DayEnd)+('Tom Bock'!E30&lt;DayStart))&gt;0)+('Tom Bock'!F30=$C30)*ISNUMBER('Tom Bock'!G30)*((('Tom Bock'!G30+VisitHrs/24&gt;DayEnd)+('Tom Bock'!G30&lt;DayStart))&gt;0)+(Jeremy!B30=$C30)*ISNUMBER(Jeremy!C30)*(((Jeremy!C30+VisitHrs/24&gt;DayEnd)+(Jeremy!C30&lt;DayStart))&gt;0)+(Jeremy!D30=$C30)*ISNUMBER(Jeremy!E30)*(((Jeremy!E30+VisitHrs/24&gt;DayEnd)+(Jeremy!E30&lt;DayStart))&gt;0)+(Jeremy!F30=$C30)*ISNUMBER(Jeremy!G30)*(((Jeremy!G30+VisitHrs/24&gt;DayEnd)+(Jeremy!G30&lt;DayStart))&gt;0)+('Test Patient'!B30=$C30)*ISNUMBER('Test Patient'!C30)*((('Test Patient'!C30+VisitHrs/24&gt;DayEnd)+('Test Patient'!C30&lt;DayStart))&gt;0)+('Test Patient'!D30=$C30)*ISNUMBER('Test Patient'!E30)*((('Test Patient'!E30+VisitHrs/24&gt;DayEnd)+('Test Patient'!E30&lt;DayStart))&gt;0)+('Test Patient'!F30=$C30)*ISNUMBER('Test Patient'!G30)*((('Test Patient'!G30+VisitHrs/24&gt;DayEnd)+('Test Patient'!G30&lt;DayStart))&gt;0))+((('Anita Klesch'!$C30=$C30)+('Test Patient 2'!$C30=$C30))-1)+($B30=$C30)*($C30&lt;&gt;"")&gt;=1,1,0),0)</f>
        <v>0</v>
      </c>
      <c r="L30" s="12"/>
      <c r="M30" s="12">
        <f t="shared" si="1"/>
        <v>0</v>
      </c>
      <c r="N30" s="12">
        <f t="shared" si="2"/>
        <v>0</v>
      </c>
    </row>
    <row r="31" spans="1:14" x14ac:dyDescent="0.2">
      <c r="A31" s="2">
        <f t="shared" si="3"/>
        <v>46237</v>
      </c>
      <c r="B31" s="19"/>
      <c r="C31" s="19"/>
      <c r="H31" s="12">
        <f t="shared" si="0"/>
        <v>1</v>
      </c>
      <c r="I31" s="12"/>
      <c r="J31" s="12">
        <f>IF(AND($H31=1,$B31&lt;&gt;""),IF((('Lucy Levene'!B31=$B31)*ISNUMBER('Lucy Levene'!C31)*('Lucy Levene'!C31&lt;DayEnd)*('Lucy Levene'!C31+VisitHrs/24&gt;DayStart)+('Lucy Levene'!D31=$B31)*ISNUMBER('Lucy Levene'!E31)*('Lucy Levene'!E31&lt;DayEnd)*('Lucy Levene'!E31+VisitHrs/24&gt;DayStart)+('Lucy Levene'!F31=$B31)*ISNUMBER('Lucy Levene'!G31)*('Lucy Levene'!G31&lt;DayEnd)*('Lucy Levene'!G31+VisitHrs/24&gt;DayStart)+('Tom Bock'!B31=$B31)*ISNUMBER('Tom Bock'!C31)*('Tom Bock'!C31&lt;DayEnd)*('Tom Bock'!C31+VisitHrs/24&gt;DayStart)+('Tom Bock'!D31=$B31)*ISNUMBER('Tom Bock'!E31)*('Tom Bock'!E31&lt;DayEnd)*('Tom Bock'!E31+VisitHrs/24&gt;DayStart)+('Tom Bock'!F31=$B31)*ISNUMBER('Tom Bock'!G31)*('Tom Bock'!G31&lt;DayEnd)*('Tom Bock'!G31+VisitHrs/24&gt;DayStart)+(Jeremy!B31=$B31)*ISNUMBER(Jeremy!C31)*(Jeremy!C31&lt;DayEnd)*(Jeremy!C31+VisitHrs/24&gt;DayStart)+(Jeremy!D31=$B31)*ISNUMBER(Jeremy!E31)*(Jeremy!E31&lt;DayEnd)*(Jeremy!E31+VisitHrs/24&gt;DayStart)+(Jeremy!F31=$B31)*ISNUMBER(Jeremy!G31)*(Jeremy!G31&lt;DayEnd)*(Jeremy!G31+VisitHrs/24&gt;DayStart)+('Test Patient'!B31=$B31)*ISNUMBER('Test Patient'!C31)*('Test Patient'!C31&lt;DayEnd)*('Test Patient'!C31+VisitHrs/24&gt;DayStart)+('Test Patient'!D31=$B31)*ISNUMBER('Test Patient'!E31)*('Test Patient'!E31&lt;DayEnd)*('Test Patient'!E31+VisitHrs/24&gt;DayStart)+('Test Patient'!F31=$B31)*ISNUMBER('Test Patient'!G31)*('Test Patient'!G31&lt;DayEnd)*('Test Patient'!G31+VisitHrs/24&gt;DayStart))+((('Anita Klesch'!$B31=$B31)+('Test Patient 2'!$B31=$B31))-1)+($C31=$B31)*($B31&lt;&gt;"")&gt;=1,1,0),0)</f>
        <v>0</v>
      </c>
      <c r="K31" s="12">
        <f>IF(AND($H31=1,$C31&lt;&gt;""),IF((('Lucy Levene'!B31=$C31)*ISNUMBER('Lucy Levene'!C31)*((('Lucy Levene'!C31+VisitHrs/24&gt;DayEnd)+('Lucy Levene'!C31&lt;DayStart))&gt;0)+('Lucy Levene'!D31=$C31)*ISNUMBER('Lucy Levene'!E31)*((('Lucy Levene'!E31+VisitHrs/24&gt;DayEnd)+('Lucy Levene'!E31&lt;DayStart))&gt;0)+('Lucy Levene'!F31=$C31)*ISNUMBER('Lucy Levene'!G31)*((('Lucy Levene'!G31+VisitHrs/24&gt;DayEnd)+('Lucy Levene'!G31&lt;DayStart))&gt;0)+('Tom Bock'!B31=$C31)*ISNUMBER('Tom Bock'!C31)*((('Tom Bock'!C31+VisitHrs/24&gt;DayEnd)+('Tom Bock'!C31&lt;DayStart))&gt;0)+('Tom Bock'!D31=$C31)*ISNUMBER('Tom Bock'!E31)*((('Tom Bock'!E31+VisitHrs/24&gt;DayEnd)+('Tom Bock'!E31&lt;DayStart))&gt;0)+('Tom Bock'!F31=$C31)*ISNUMBER('Tom Bock'!G31)*((('Tom Bock'!G31+VisitHrs/24&gt;DayEnd)+('Tom Bock'!G31&lt;DayStart))&gt;0)+(Jeremy!B31=$C31)*ISNUMBER(Jeremy!C31)*(((Jeremy!C31+VisitHrs/24&gt;DayEnd)+(Jeremy!C31&lt;DayStart))&gt;0)+(Jeremy!D31=$C31)*ISNUMBER(Jeremy!E31)*(((Jeremy!E31+VisitHrs/24&gt;DayEnd)+(Jeremy!E31&lt;DayStart))&gt;0)+(Jeremy!F31=$C31)*ISNUMBER(Jeremy!G31)*(((Jeremy!G31+VisitHrs/24&gt;DayEnd)+(Jeremy!G31&lt;DayStart))&gt;0)+('Test Patient'!B31=$C31)*ISNUMBER('Test Patient'!C31)*((('Test Patient'!C31+VisitHrs/24&gt;DayEnd)+('Test Patient'!C31&lt;DayStart))&gt;0)+('Test Patient'!D31=$C31)*ISNUMBER('Test Patient'!E31)*((('Test Patient'!E31+VisitHrs/24&gt;DayEnd)+('Test Patient'!E31&lt;DayStart))&gt;0)+('Test Patient'!F31=$C31)*ISNUMBER('Test Patient'!G31)*((('Test Patient'!G31+VisitHrs/24&gt;DayEnd)+('Test Patient'!G31&lt;DayStart))&gt;0))+((('Anita Klesch'!$C31=$C31)+('Test Patient 2'!$C31=$C31))-1)+($B31=$C31)*($C31&lt;&gt;"")&gt;=1,1,0),0)</f>
        <v>0</v>
      </c>
      <c r="L31" s="12"/>
      <c r="M31" s="12">
        <f t="shared" si="1"/>
        <v>0</v>
      </c>
      <c r="N31" s="12">
        <f t="shared" si="2"/>
        <v>0</v>
      </c>
    </row>
    <row r="32" spans="1:14" x14ac:dyDescent="0.2">
      <c r="A32" s="2">
        <f t="shared" si="3"/>
        <v>46238</v>
      </c>
      <c r="B32" s="19"/>
      <c r="C32" s="19"/>
      <c r="H32" s="12">
        <f t="shared" si="0"/>
        <v>1</v>
      </c>
      <c r="I32" s="12"/>
      <c r="J32" s="12">
        <f>IF(AND($H32=1,$B32&lt;&gt;""),IF((('Lucy Levene'!B32=$B32)*ISNUMBER('Lucy Levene'!C32)*('Lucy Levene'!C32&lt;DayEnd)*('Lucy Levene'!C32+VisitHrs/24&gt;DayStart)+('Lucy Levene'!D32=$B32)*ISNUMBER('Lucy Levene'!E32)*('Lucy Levene'!E32&lt;DayEnd)*('Lucy Levene'!E32+VisitHrs/24&gt;DayStart)+('Lucy Levene'!F32=$B32)*ISNUMBER('Lucy Levene'!G32)*('Lucy Levene'!G32&lt;DayEnd)*('Lucy Levene'!G32+VisitHrs/24&gt;DayStart)+('Tom Bock'!B32=$B32)*ISNUMBER('Tom Bock'!C32)*('Tom Bock'!C32&lt;DayEnd)*('Tom Bock'!C32+VisitHrs/24&gt;DayStart)+('Tom Bock'!D32=$B32)*ISNUMBER('Tom Bock'!E32)*('Tom Bock'!E32&lt;DayEnd)*('Tom Bock'!E32+VisitHrs/24&gt;DayStart)+('Tom Bock'!F32=$B32)*ISNUMBER('Tom Bock'!G32)*('Tom Bock'!G32&lt;DayEnd)*('Tom Bock'!G32+VisitHrs/24&gt;DayStart)+(Jeremy!B32=$B32)*ISNUMBER(Jeremy!C32)*(Jeremy!C32&lt;DayEnd)*(Jeremy!C32+VisitHrs/24&gt;DayStart)+(Jeremy!D32=$B32)*ISNUMBER(Jeremy!E32)*(Jeremy!E32&lt;DayEnd)*(Jeremy!E32+VisitHrs/24&gt;DayStart)+(Jeremy!F32=$B32)*ISNUMBER(Jeremy!G32)*(Jeremy!G32&lt;DayEnd)*(Jeremy!G32+VisitHrs/24&gt;DayStart)+('Test Patient'!B32=$B32)*ISNUMBER('Test Patient'!C32)*('Test Patient'!C32&lt;DayEnd)*('Test Patient'!C32+VisitHrs/24&gt;DayStart)+('Test Patient'!D32=$B32)*ISNUMBER('Test Patient'!E32)*('Test Patient'!E32&lt;DayEnd)*('Test Patient'!E32+VisitHrs/24&gt;DayStart)+('Test Patient'!F32=$B32)*ISNUMBER('Test Patient'!G32)*('Test Patient'!G32&lt;DayEnd)*('Test Patient'!G32+VisitHrs/24&gt;DayStart))+((('Anita Klesch'!$B32=$B32)+('Test Patient 2'!$B32=$B32))-1)+($C32=$B32)*($B32&lt;&gt;"")&gt;=1,1,0),0)</f>
        <v>0</v>
      </c>
      <c r="K32" s="12">
        <f>IF(AND($H32=1,$C32&lt;&gt;""),IF((('Lucy Levene'!B32=$C32)*ISNUMBER('Lucy Levene'!C32)*((('Lucy Levene'!C32+VisitHrs/24&gt;DayEnd)+('Lucy Levene'!C32&lt;DayStart))&gt;0)+('Lucy Levene'!D32=$C32)*ISNUMBER('Lucy Levene'!E32)*((('Lucy Levene'!E32+VisitHrs/24&gt;DayEnd)+('Lucy Levene'!E32&lt;DayStart))&gt;0)+('Lucy Levene'!F32=$C32)*ISNUMBER('Lucy Levene'!G32)*((('Lucy Levene'!G32+VisitHrs/24&gt;DayEnd)+('Lucy Levene'!G32&lt;DayStart))&gt;0)+('Tom Bock'!B32=$C32)*ISNUMBER('Tom Bock'!C32)*((('Tom Bock'!C32+VisitHrs/24&gt;DayEnd)+('Tom Bock'!C32&lt;DayStart))&gt;0)+('Tom Bock'!D32=$C32)*ISNUMBER('Tom Bock'!E32)*((('Tom Bock'!E32+VisitHrs/24&gt;DayEnd)+('Tom Bock'!E32&lt;DayStart))&gt;0)+('Tom Bock'!F32=$C32)*ISNUMBER('Tom Bock'!G32)*((('Tom Bock'!G32+VisitHrs/24&gt;DayEnd)+('Tom Bock'!G32&lt;DayStart))&gt;0)+(Jeremy!B32=$C32)*ISNUMBER(Jeremy!C32)*(((Jeremy!C32+VisitHrs/24&gt;DayEnd)+(Jeremy!C32&lt;DayStart))&gt;0)+(Jeremy!D32=$C32)*ISNUMBER(Jeremy!E32)*(((Jeremy!E32+VisitHrs/24&gt;DayEnd)+(Jeremy!E32&lt;DayStart))&gt;0)+(Jeremy!F32=$C32)*ISNUMBER(Jeremy!G32)*(((Jeremy!G32+VisitHrs/24&gt;DayEnd)+(Jeremy!G32&lt;DayStart))&gt;0)+('Test Patient'!B32=$C32)*ISNUMBER('Test Patient'!C32)*((('Test Patient'!C32+VisitHrs/24&gt;DayEnd)+('Test Patient'!C32&lt;DayStart))&gt;0)+('Test Patient'!D32=$C32)*ISNUMBER('Test Patient'!E32)*((('Test Patient'!E32+VisitHrs/24&gt;DayEnd)+('Test Patient'!E32&lt;DayStart))&gt;0)+('Test Patient'!F32=$C32)*ISNUMBER('Test Patient'!G32)*((('Test Patient'!G32+VisitHrs/24&gt;DayEnd)+('Test Patient'!G32&lt;DayStart))&gt;0))+((('Anita Klesch'!$C32=$C32)+('Test Patient 2'!$C32=$C32))-1)+($B32=$C32)*($C32&lt;&gt;"")&gt;=1,1,0),0)</f>
        <v>0</v>
      </c>
      <c r="L32" s="12"/>
      <c r="M32" s="12">
        <f t="shared" si="1"/>
        <v>0</v>
      </c>
      <c r="N32" s="12">
        <f t="shared" si="2"/>
        <v>0</v>
      </c>
    </row>
    <row r="33" spans="1:14" x14ac:dyDescent="0.2">
      <c r="A33" s="2">
        <f t="shared" si="3"/>
        <v>46239</v>
      </c>
      <c r="B33" s="19"/>
      <c r="C33" s="19"/>
      <c r="H33" s="12">
        <f t="shared" si="0"/>
        <v>1</v>
      </c>
      <c r="I33" s="12"/>
      <c r="J33" s="12">
        <f>IF(AND($H33=1,$B33&lt;&gt;""),IF((('Lucy Levene'!B33=$B33)*ISNUMBER('Lucy Levene'!C33)*('Lucy Levene'!C33&lt;DayEnd)*('Lucy Levene'!C33+VisitHrs/24&gt;DayStart)+('Lucy Levene'!D33=$B33)*ISNUMBER('Lucy Levene'!E33)*('Lucy Levene'!E33&lt;DayEnd)*('Lucy Levene'!E33+VisitHrs/24&gt;DayStart)+('Lucy Levene'!F33=$B33)*ISNUMBER('Lucy Levene'!G33)*('Lucy Levene'!G33&lt;DayEnd)*('Lucy Levene'!G33+VisitHrs/24&gt;DayStart)+('Tom Bock'!B33=$B33)*ISNUMBER('Tom Bock'!C33)*('Tom Bock'!C33&lt;DayEnd)*('Tom Bock'!C33+VisitHrs/24&gt;DayStart)+('Tom Bock'!D33=$B33)*ISNUMBER('Tom Bock'!E33)*('Tom Bock'!E33&lt;DayEnd)*('Tom Bock'!E33+VisitHrs/24&gt;DayStart)+('Tom Bock'!F33=$B33)*ISNUMBER('Tom Bock'!G33)*('Tom Bock'!G33&lt;DayEnd)*('Tom Bock'!G33+VisitHrs/24&gt;DayStart)+(Jeremy!B33=$B33)*ISNUMBER(Jeremy!C33)*(Jeremy!C33&lt;DayEnd)*(Jeremy!C33+VisitHrs/24&gt;DayStart)+(Jeremy!D33=$B33)*ISNUMBER(Jeremy!E33)*(Jeremy!E33&lt;DayEnd)*(Jeremy!E33+VisitHrs/24&gt;DayStart)+(Jeremy!F33=$B33)*ISNUMBER(Jeremy!G33)*(Jeremy!G33&lt;DayEnd)*(Jeremy!G33+VisitHrs/24&gt;DayStart)+('Test Patient'!B33=$B33)*ISNUMBER('Test Patient'!C33)*('Test Patient'!C33&lt;DayEnd)*('Test Patient'!C33+VisitHrs/24&gt;DayStart)+('Test Patient'!D33=$B33)*ISNUMBER('Test Patient'!E33)*('Test Patient'!E33&lt;DayEnd)*('Test Patient'!E33+VisitHrs/24&gt;DayStart)+('Test Patient'!F33=$B33)*ISNUMBER('Test Patient'!G33)*('Test Patient'!G33&lt;DayEnd)*('Test Patient'!G33+VisitHrs/24&gt;DayStart))+((('Anita Klesch'!$B33=$B33)+('Test Patient 2'!$B33=$B33))-1)+($C33=$B33)*($B33&lt;&gt;"")&gt;=1,1,0),0)</f>
        <v>0</v>
      </c>
      <c r="K33" s="12">
        <f>IF(AND($H33=1,$C33&lt;&gt;""),IF((('Lucy Levene'!B33=$C33)*ISNUMBER('Lucy Levene'!C33)*((('Lucy Levene'!C33+VisitHrs/24&gt;DayEnd)+('Lucy Levene'!C33&lt;DayStart))&gt;0)+('Lucy Levene'!D33=$C33)*ISNUMBER('Lucy Levene'!E33)*((('Lucy Levene'!E33+VisitHrs/24&gt;DayEnd)+('Lucy Levene'!E33&lt;DayStart))&gt;0)+('Lucy Levene'!F33=$C33)*ISNUMBER('Lucy Levene'!G33)*((('Lucy Levene'!G33+VisitHrs/24&gt;DayEnd)+('Lucy Levene'!G33&lt;DayStart))&gt;0)+('Tom Bock'!B33=$C33)*ISNUMBER('Tom Bock'!C33)*((('Tom Bock'!C33+VisitHrs/24&gt;DayEnd)+('Tom Bock'!C33&lt;DayStart))&gt;0)+('Tom Bock'!D33=$C33)*ISNUMBER('Tom Bock'!E33)*((('Tom Bock'!E33+VisitHrs/24&gt;DayEnd)+('Tom Bock'!E33&lt;DayStart))&gt;0)+('Tom Bock'!F33=$C33)*ISNUMBER('Tom Bock'!G33)*((('Tom Bock'!G33+VisitHrs/24&gt;DayEnd)+('Tom Bock'!G33&lt;DayStart))&gt;0)+(Jeremy!B33=$C33)*ISNUMBER(Jeremy!C33)*(((Jeremy!C33+VisitHrs/24&gt;DayEnd)+(Jeremy!C33&lt;DayStart))&gt;0)+(Jeremy!D33=$C33)*ISNUMBER(Jeremy!E33)*(((Jeremy!E33+VisitHrs/24&gt;DayEnd)+(Jeremy!E33&lt;DayStart))&gt;0)+(Jeremy!F33=$C33)*ISNUMBER(Jeremy!G33)*(((Jeremy!G33+VisitHrs/24&gt;DayEnd)+(Jeremy!G33&lt;DayStart))&gt;0)+('Test Patient'!B33=$C33)*ISNUMBER('Test Patient'!C33)*((('Test Patient'!C33+VisitHrs/24&gt;DayEnd)+('Test Patient'!C33&lt;DayStart))&gt;0)+('Test Patient'!D33=$C33)*ISNUMBER('Test Patient'!E33)*((('Test Patient'!E33+VisitHrs/24&gt;DayEnd)+('Test Patient'!E33&lt;DayStart))&gt;0)+('Test Patient'!F33=$C33)*ISNUMBER('Test Patient'!G33)*((('Test Patient'!G33+VisitHrs/24&gt;DayEnd)+('Test Patient'!G33&lt;DayStart))&gt;0))+((('Anita Klesch'!$C33=$C33)+('Test Patient 2'!$C33=$C33))-1)+($B33=$C33)*($C33&lt;&gt;"")&gt;=1,1,0),0)</f>
        <v>0</v>
      </c>
      <c r="L33" s="12"/>
      <c r="M33" s="12">
        <f t="shared" si="1"/>
        <v>0</v>
      </c>
      <c r="N33" s="12">
        <f t="shared" si="2"/>
        <v>0</v>
      </c>
    </row>
    <row r="34" spans="1:14" x14ac:dyDescent="0.2">
      <c r="A34" s="2">
        <f t="shared" si="3"/>
        <v>46240</v>
      </c>
      <c r="B34" s="19"/>
      <c r="C34" s="19"/>
      <c r="H34" s="12">
        <f t="shared" si="0"/>
        <v>1</v>
      </c>
      <c r="I34" s="12"/>
      <c r="J34" s="12">
        <f>IF(AND($H34=1,$B34&lt;&gt;""),IF((('Lucy Levene'!B34=$B34)*ISNUMBER('Lucy Levene'!C34)*('Lucy Levene'!C34&lt;DayEnd)*('Lucy Levene'!C34+VisitHrs/24&gt;DayStart)+('Lucy Levene'!D34=$B34)*ISNUMBER('Lucy Levene'!E34)*('Lucy Levene'!E34&lt;DayEnd)*('Lucy Levene'!E34+VisitHrs/24&gt;DayStart)+('Lucy Levene'!F34=$B34)*ISNUMBER('Lucy Levene'!G34)*('Lucy Levene'!G34&lt;DayEnd)*('Lucy Levene'!G34+VisitHrs/24&gt;DayStart)+('Tom Bock'!B34=$B34)*ISNUMBER('Tom Bock'!C34)*('Tom Bock'!C34&lt;DayEnd)*('Tom Bock'!C34+VisitHrs/24&gt;DayStart)+('Tom Bock'!D34=$B34)*ISNUMBER('Tom Bock'!E34)*('Tom Bock'!E34&lt;DayEnd)*('Tom Bock'!E34+VisitHrs/24&gt;DayStart)+('Tom Bock'!F34=$B34)*ISNUMBER('Tom Bock'!G34)*('Tom Bock'!G34&lt;DayEnd)*('Tom Bock'!G34+VisitHrs/24&gt;DayStart)+(Jeremy!B34=$B34)*ISNUMBER(Jeremy!C34)*(Jeremy!C34&lt;DayEnd)*(Jeremy!C34+VisitHrs/24&gt;DayStart)+(Jeremy!D34=$B34)*ISNUMBER(Jeremy!E34)*(Jeremy!E34&lt;DayEnd)*(Jeremy!E34+VisitHrs/24&gt;DayStart)+(Jeremy!F34=$B34)*ISNUMBER(Jeremy!G34)*(Jeremy!G34&lt;DayEnd)*(Jeremy!G34+VisitHrs/24&gt;DayStart)+('Test Patient'!B34=$B34)*ISNUMBER('Test Patient'!C34)*('Test Patient'!C34&lt;DayEnd)*('Test Patient'!C34+VisitHrs/24&gt;DayStart)+('Test Patient'!D34=$B34)*ISNUMBER('Test Patient'!E34)*('Test Patient'!E34&lt;DayEnd)*('Test Patient'!E34+VisitHrs/24&gt;DayStart)+('Test Patient'!F34=$B34)*ISNUMBER('Test Patient'!G34)*('Test Patient'!G34&lt;DayEnd)*('Test Patient'!G34+VisitHrs/24&gt;DayStart))+((('Anita Klesch'!$B34=$B34)+('Test Patient 2'!$B34=$B34))-1)+($C34=$B34)*($B34&lt;&gt;"")&gt;=1,1,0),0)</f>
        <v>0</v>
      </c>
      <c r="K34" s="12">
        <f>IF(AND($H34=1,$C34&lt;&gt;""),IF((('Lucy Levene'!B34=$C34)*ISNUMBER('Lucy Levene'!C34)*((('Lucy Levene'!C34+VisitHrs/24&gt;DayEnd)+('Lucy Levene'!C34&lt;DayStart))&gt;0)+('Lucy Levene'!D34=$C34)*ISNUMBER('Lucy Levene'!E34)*((('Lucy Levene'!E34+VisitHrs/24&gt;DayEnd)+('Lucy Levene'!E34&lt;DayStart))&gt;0)+('Lucy Levene'!F34=$C34)*ISNUMBER('Lucy Levene'!G34)*((('Lucy Levene'!G34+VisitHrs/24&gt;DayEnd)+('Lucy Levene'!G34&lt;DayStart))&gt;0)+('Tom Bock'!B34=$C34)*ISNUMBER('Tom Bock'!C34)*((('Tom Bock'!C34+VisitHrs/24&gt;DayEnd)+('Tom Bock'!C34&lt;DayStart))&gt;0)+('Tom Bock'!D34=$C34)*ISNUMBER('Tom Bock'!E34)*((('Tom Bock'!E34+VisitHrs/24&gt;DayEnd)+('Tom Bock'!E34&lt;DayStart))&gt;0)+('Tom Bock'!F34=$C34)*ISNUMBER('Tom Bock'!G34)*((('Tom Bock'!G34+VisitHrs/24&gt;DayEnd)+('Tom Bock'!G34&lt;DayStart))&gt;0)+(Jeremy!B34=$C34)*ISNUMBER(Jeremy!C34)*(((Jeremy!C34+VisitHrs/24&gt;DayEnd)+(Jeremy!C34&lt;DayStart))&gt;0)+(Jeremy!D34=$C34)*ISNUMBER(Jeremy!E34)*(((Jeremy!E34+VisitHrs/24&gt;DayEnd)+(Jeremy!E34&lt;DayStart))&gt;0)+(Jeremy!F34=$C34)*ISNUMBER(Jeremy!G34)*(((Jeremy!G34+VisitHrs/24&gt;DayEnd)+(Jeremy!G34&lt;DayStart))&gt;0)+('Test Patient'!B34=$C34)*ISNUMBER('Test Patient'!C34)*((('Test Patient'!C34+VisitHrs/24&gt;DayEnd)+('Test Patient'!C34&lt;DayStart))&gt;0)+('Test Patient'!D34=$C34)*ISNUMBER('Test Patient'!E34)*((('Test Patient'!E34+VisitHrs/24&gt;DayEnd)+('Test Patient'!E34&lt;DayStart))&gt;0)+('Test Patient'!F34=$C34)*ISNUMBER('Test Patient'!G34)*((('Test Patient'!G34+VisitHrs/24&gt;DayEnd)+('Test Patient'!G34&lt;DayStart))&gt;0))+((('Anita Klesch'!$C34=$C34)+('Test Patient 2'!$C34=$C34))-1)+($B34=$C34)*($C34&lt;&gt;"")&gt;=1,1,0),0)</f>
        <v>0</v>
      </c>
      <c r="L34" s="12"/>
      <c r="M34" s="12">
        <f t="shared" si="1"/>
        <v>0</v>
      </c>
      <c r="N34" s="12">
        <f t="shared" si="2"/>
        <v>0</v>
      </c>
    </row>
    <row r="35" spans="1:14" x14ac:dyDescent="0.2">
      <c r="A35" s="2">
        <f t="shared" si="3"/>
        <v>46241</v>
      </c>
      <c r="B35" s="19"/>
      <c r="C35" s="19"/>
      <c r="H35" s="12">
        <f t="shared" si="0"/>
        <v>1</v>
      </c>
      <c r="I35" s="12"/>
      <c r="J35" s="12">
        <f>IF(AND($H35=1,$B35&lt;&gt;""),IF((('Lucy Levene'!B35=$B35)*ISNUMBER('Lucy Levene'!C35)*('Lucy Levene'!C35&lt;DayEnd)*('Lucy Levene'!C35+VisitHrs/24&gt;DayStart)+('Lucy Levene'!D35=$B35)*ISNUMBER('Lucy Levene'!E35)*('Lucy Levene'!E35&lt;DayEnd)*('Lucy Levene'!E35+VisitHrs/24&gt;DayStart)+('Lucy Levene'!F35=$B35)*ISNUMBER('Lucy Levene'!G35)*('Lucy Levene'!G35&lt;DayEnd)*('Lucy Levene'!G35+VisitHrs/24&gt;DayStart)+('Tom Bock'!B35=$B35)*ISNUMBER('Tom Bock'!C35)*('Tom Bock'!C35&lt;DayEnd)*('Tom Bock'!C35+VisitHrs/24&gt;DayStart)+('Tom Bock'!D35=$B35)*ISNUMBER('Tom Bock'!E35)*('Tom Bock'!E35&lt;DayEnd)*('Tom Bock'!E35+VisitHrs/24&gt;DayStart)+('Tom Bock'!F35=$B35)*ISNUMBER('Tom Bock'!G35)*('Tom Bock'!G35&lt;DayEnd)*('Tom Bock'!G35+VisitHrs/24&gt;DayStart)+(Jeremy!B35=$B35)*ISNUMBER(Jeremy!C35)*(Jeremy!C35&lt;DayEnd)*(Jeremy!C35+VisitHrs/24&gt;DayStart)+(Jeremy!D35=$B35)*ISNUMBER(Jeremy!E35)*(Jeremy!E35&lt;DayEnd)*(Jeremy!E35+VisitHrs/24&gt;DayStart)+(Jeremy!F35=$B35)*ISNUMBER(Jeremy!G35)*(Jeremy!G35&lt;DayEnd)*(Jeremy!G35+VisitHrs/24&gt;DayStart)+('Test Patient'!B35=$B35)*ISNUMBER('Test Patient'!C35)*('Test Patient'!C35&lt;DayEnd)*('Test Patient'!C35+VisitHrs/24&gt;DayStart)+('Test Patient'!D35=$B35)*ISNUMBER('Test Patient'!E35)*('Test Patient'!E35&lt;DayEnd)*('Test Patient'!E35+VisitHrs/24&gt;DayStart)+('Test Patient'!F35=$B35)*ISNUMBER('Test Patient'!G35)*('Test Patient'!G35&lt;DayEnd)*('Test Patient'!G35+VisitHrs/24&gt;DayStart))+((('Anita Klesch'!$B35=$B35)+('Test Patient 2'!$B35=$B35))-1)+($C35=$B35)*($B35&lt;&gt;"")&gt;=1,1,0),0)</f>
        <v>0</v>
      </c>
      <c r="K35" s="12">
        <f>IF(AND($H35=1,$C35&lt;&gt;""),IF((('Lucy Levene'!B35=$C35)*ISNUMBER('Lucy Levene'!C35)*((('Lucy Levene'!C35+VisitHrs/24&gt;DayEnd)+('Lucy Levene'!C35&lt;DayStart))&gt;0)+('Lucy Levene'!D35=$C35)*ISNUMBER('Lucy Levene'!E35)*((('Lucy Levene'!E35+VisitHrs/24&gt;DayEnd)+('Lucy Levene'!E35&lt;DayStart))&gt;0)+('Lucy Levene'!F35=$C35)*ISNUMBER('Lucy Levene'!G35)*((('Lucy Levene'!G35+VisitHrs/24&gt;DayEnd)+('Lucy Levene'!G35&lt;DayStart))&gt;0)+('Tom Bock'!B35=$C35)*ISNUMBER('Tom Bock'!C35)*((('Tom Bock'!C35+VisitHrs/24&gt;DayEnd)+('Tom Bock'!C35&lt;DayStart))&gt;0)+('Tom Bock'!D35=$C35)*ISNUMBER('Tom Bock'!E35)*((('Tom Bock'!E35+VisitHrs/24&gt;DayEnd)+('Tom Bock'!E35&lt;DayStart))&gt;0)+('Tom Bock'!F35=$C35)*ISNUMBER('Tom Bock'!G35)*((('Tom Bock'!G35+VisitHrs/24&gt;DayEnd)+('Tom Bock'!G35&lt;DayStart))&gt;0)+(Jeremy!B35=$C35)*ISNUMBER(Jeremy!C35)*(((Jeremy!C35+VisitHrs/24&gt;DayEnd)+(Jeremy!C35&lt;DayStart))&gt;0)+(Jeremy!D35=$C35)*ISNUMBER(Jeremy!E35)*(((Jeremy!E35+VisitHrs/24&gt;DayEnd)+(Jeremy!E35&lt;DayStart))&gt;0)+(Jeremy!F35=$C35)*ISNUMBER(Jeremy!G35)*(((Jeremy!G35+VisitHrs/24&gt;DayEnd)+(Jeremy!G35&lt;DayStart))&gt;0)+('Test Patient'!B35=$C35)*ISNUMBER('Test Patient'!C35)*((('Test Patient'!C35+VisitHrs/24&gt;DayEnd)+('Test Patient'!C35&lt;DayStart))&gt;0)+('Test Patient'!D35=$C35)*ISNUMBER('Test Patient'!E35)*((('Test Patient'!E35+VisitHrs/24&gt;DayEnd)+('Test Patient'!E35&lt;DayStart))&gt;0)+('Test Patient'!F35=$C35)*ISNUMBER('Test Patient'!G35)*((('Test Patient'!G35+VisitHrs/24&gt;DayEnd)+('Test Patient'!G35&lt;DayStart))&gt;0))+((('Anita Klesch'!$C35=$C35)+('Test Patient 2'!$C35=$C35))-1)+($B35=$C35)*($C35&lt;&gt;"")&gt;=1,1,0),0)</f>
        <v>0</v>
      </c>
      <c r="L35" s="12"/>
      <c r="M35" s="12">
        <f t="shared" si="1"/>
        <v>0</v>
      </c>
      <c r="N35" s="12">
        <f t="shared" si="2"/>
        <v>0</v>
      </c>
    </row>
    <row r="36" spans="1:14" x14ac:dyDescent="0.2">
      <c r="A36" s="2">
        <f t="shared" si="3"/>
        <v>46242</v>
      </c>
      <c r="B36" s="19"/>
      <c r="C36" s="19"/>
      <c r="H36" s="12">
        <f t="shared" si="0"/>
        <v>1</v>
      </c>
      <c r="I36" s="12"/>
      <c r="J36" s="12">
        <f>IF(AND($H36=1,$B36&lt;&gt;""),IF((('Lucy Levene'!B36=$B36)*ISNUMBER('Lucy Levene'!C36)*('Lucy Levene'!C36&lt;DayEnd)*('Lucy Levene'!C36+VisitHrs/24&gt;DayStart)+('Lucy Levene'!D36=$B36)*ISNUMBER('Lucy Levene'!E36)*('Lucy Levene'!E36&lt;DayEnd)*('Lucy Levene'!E36+VisitHrs/24&gt;DayStart)+('Lucy Levene'!F36=$B36)*ISNUMBER('Lucy Levene'!G36)*('Lucy Levene'!G36&lt;DayEnd)*('Lucy Levene'!G36+VisitHrs/24&gt;DayStart)+('Tom Bock'!B36=$B36)*ISNUMBER('Tom Bock'!C36)*('Tom Bock'!C36&lt;DayEnd)*('Tom Bock'!C36+VisitHrs/24&gt;DayStart)+('Tom Bock'!D36=$B36)*ISNUMBER('Tom Bock'!E36)*('Tom Bock'!E36&lt;DayEnd)*('Tom Bock'!E36+VisitHrs/24&gt;DayStart)+('Tom Bock'!F36=$B36)*ISNUMBER('Tom Bock'!G36)*('Tom Bock'!G36&lt;DayEnd)*('Tom Bock'!G36+VisitHrs/24&gt;DayStart)+(Jeremy!B36=$B36)*ISNUMBER(Jeremy!C36)*(Jeremy!C36&lt;DayEnd)*(Jeremy!C36+VisitHrs/24&gt;DayStart)+(Jeremy!D36=$B36)*ISNUMBER(Jeremy!E36)*(Jeremy!E36&lt;DayEnd)*(Jeremy!E36+VisitHrs/24&gt;DayStart)+(Jeremy!F36=$B36)*ISNUMBER(Jeremy!G36)*(Jeremy!G36&lt;DayEnd)*(Jeremy!G36+VisitHrs/24&gt;DayStart)+('Test Patient'!B36=$B36)*ISNUMBER('Test Patient'!C36)*('Test Patient'!C36&lt;DayEnd)*('Test Patient'!C36+VisitHrs/24&gt;DayStart)+('Test Patient'!D36=$B36)*ISNUMBER('Test Patient'!E36)*('Test Patient'!E36&lt;DayEnd)*('Test Patient'!E36+VisitHrs/24&gt;DayStart)+('Test Patient'!F36=$B36)*ISNUMBER('Test Patient'!G36)*('Test Patient'!G36&lt;DayEnd)*('Test Patient'!G36+VisitHrs/24&gt;DayStart))+((('Anita Klesch'!$B36=$B36)+('Test Patient 2'!$B36=$B36))-1)+($C36=$B36)*($B36&lt;&gt;"")&gt;=1,1,0),0)</f>
        <v>0</v>
      </c>
      <c r="K36" s="12">
        <f>IF(AND($H36=1,$C36&lt;&gt;""),IF((('Lucy Levene'!B36=$C36)*ISNUMBER('Lucy Levene'!C36)*((('Lucy Levene'!C36+VisitHrs/24&gt;DayEnd)+('Lucy Levene'!C36&lt;DayStart))&gt;0)+('Lucy Levene'!D36=$C36)*ISNUMBER('Lucy Levene'!E36)*((('Lucy Levene'!E36+VisitHrs/24&gt;DayEnd)+('Lucy Levene'!E36&lt;DayStart))&gt;0)+('Lucy Levene'!F36=$C36)*ISNUMBER('Lucy Levene'!G36)*((('Lucy Levene'!G36+VisitHrs/24&gt;DayEnd)+('Lucy Levene'!G36&lt;DayStart))&gt;0)+('Tom Bock'!B36=$C36)*ISNUMBER('Tom Bock'!C36)*((('Tom Bock'!C36+VisitHrs/24&gt;DayEnd)+('Tom Bock'!C36&lt;DayStart))&gt;0)+('Tom Bock'!D36=$C36)*ISNUMBER('Tom Bock'!E36)*((('Tom Bock'!E36+VisitHrs/24&gt;DayEnd)+('Tom Bock'!E36&lt;DayStart))&gt;0)+('Tom Bock'!F36=$C36)*ISNUMBER('Tom Bock'!G36)*((('Tom Bock'!G36+VisitHrs/24&gt;DayEnd)+('Tom Bock'!G36&lt;DayStart))&gt;0)+(Jeremy!B36=$C36)*ISNUMBER(Jeremy!C36)*(((Jeremy!C36+VisitHrs/24&gt;DayEnd)+(Jeremy!C36&lt;DayStart))&gt;0)+(Jeremy!D36=$C36)*ISNUMBER(Jeremy!E36)*(((Jeremy!E36+VisitHrs/24&gt;DayEnd)+(Jeremy!E36&lt;DayStart))&gt;0)+(Jeremy!F36=$C36)*ISNUMBER(Jeremy!G36)*(((Jeremy!G36+VisitHrs/24&gt;DayEnd)+(Jeremy!G36&lt;DayStart))&gt;0)+('Test Patient'!B36=$C36)*ISNUMBER('Test Patient'!C36)*((('Test Patient'!C36+VisitHrs/24&gt;DayEnd)+('Test Patient'!C36&lt;DayStart))&gt;0)+('Test Patient'!D36=$C36)*ISNUMBER('Test Patient'!E36)*((('Test Patient'!E36+VisitHrs/24&gt;DayEnd)+('Test Patient'!E36&lt;DayStart))&gt;0)+('Test Patient'!F36=$C36)*ISNUMBER('Test Patient'!G36)*((('Test Patient'!G36+VisitHrs/24&gt;DayEnd)+('Test Patient'!G36&lt;DayStart))&gt;0))+((('Anita Klesch'!$C36=$C36)+('Test Patient 2'!$C36=$C36))-1)+($B36=$C36)*($C36&lt;&gt;"")&gt;=1,1,0),0)</f>
        <v>0</v>
      </c>
      <c r="L36" s="12"/>
      <c r="M36" s="12">
        <f t="shared" si="1"/>
        <v>0</v>
      </c>
      <c r="N36" s="12">
        <f t="shared" si="2"/>
        <v>0</v>
      </c>
    </row>
    <row r="37" spans="1:14" x14ac:dyDescent="0.2">
      <c r="A37" s="2">
        <f t="shared" si="3"/>
        <v>46243</v>
      </c>
      <c r="B37" s="19"/>
      <c r="C37" s="19"/>
      <c r="H37" s="12">
        <f t="shared" si="0"/>
        <v>1</v>
      </c>
      <c r="I37" s="12"/>
      <c r="J37" s="12">
        <f>IF(AND($H37=1,$B37&lt;&gt;""),IF((('Lucy Levene'!B37=$B37)*ISNUMBER('Lucy Levene'!C37)*('Lucy Levene'!C37&lt;DayEnd)*('Lucy Levene'!C37+VisitHrs/24&gt;DayStart)+('Lucy Levene'!D37=$B37)*ISNUMBER('Lucy Levene'!E37)*('Lucy Levene'!E37&lt;DayEnd)*('Lucy Levene'!E37+VisitHrs/24&gt;DayStart)+('Lucy Levene'!F37=$B37)*ISNUMBER('Lucy Levene'!G37)*('Lucy Levene'!G37&lt;DayEnd)*('Lucy Levene'!G37+VisitHrs/24&gt;DayStart)+('Tom Bock'!B37=$B37)*ISNUMBER('Tom Bock'!C37)*('Tom Bock'!C37&lt;DayEnd)*('Tom Bock'!C37+VisitHrs/24&gt;DayStart)+('Tom Bock'!D37=$B37)*ISNUMBER('Tom Bock'!E37)*('Tom Bock'!E37&lt;DayEnd)*('Tom Bock'!E37+VisitHrs/24&gt;DayStart)+('Tom Bock'!F37=$B37)*ISNUMBER('Tom Bock'!G37)*('Tom Bock'!G37&lt;DayEnd)*('Tom Bock'!G37+VisitHrs/24&gt;DayStart)+(Jeremy!B37=$B37)*ISNUMBER(Jeremy!C37)*(Jeremy!C37&lt;DayEnd)*(Jeremy!C37+VisitHrs/24&gt;DayStart)+(Jeremy!D37=$B37)*ISNUMBER(Jeremy!E37)*(Jeremy!E37&lt;DayEnd)*(Jeremy!E37+VisitHrs/24&gt;DayStart)+(Jeremy!F37=$B37)*ISNUMBER(Jeremy!G37)*(Jeremy!G37&lt;DayEnd)*(Jeremy!G37+VisitHrs/24&gt;DayStart)+('Test Patient'!B37=$B37)*ISNUMBER('Test Patient'!C37)*('Test Patient'!C37&lt;DayEnd)*('Test Patient'!C37+VisitHrs/24&gt;DayStart)+('Test Patient'!D37=$B37)*ISNUMBER('Test Patient'!E37)*('Test Patient'!E37&lt;DayEnd)*('Test Patient'!E37+VisitHrs/24&gt;DayStart)+('Test Patient'!F37=$B37)*ISNUMBER('Test Patient'!G37)*('Test Patient'!G37&lt;DayEnd)*('Test Patient'!G37+VisitHrs/24&gt;DayStart))+((('Anita Klesch'!$B37=$B37)+('Test Patient 2'!$B37=$B37))-1)+($C37=$B37)*($B37&lt;&gt;"")&gt;=1,1,0),0)</f>
        <v>0</v>
      </c>
      <c r="K37" s="12">
        <f>IF(AND($H37=1,$C37&lt;&gt;""),IF((('Lucy Levene'!B37=$C37)*ISNUMBER('Lucy Levene'!C37)*((('Lucy Levene'!C37+VisitHrs/24&gt;DayEnd)+('Lucy Levene'!C37&lt;DayStart))&gt;0)+('Lucy Levene'!D37=$C37)*ISNUMBER('Lucy Levene'!E37)*((('Lucy Levene'!E37+VisitHrs/24&gt;DayEnd)+('Lucy Levene'!E37&lt;DayStart))&gt;0)+('Lucy Levene'!F37=$C37)*ISNUMBER('Lucy Levene'!G37)*((('Lucy Levene'!G37+VisitHrs/24&gt;DayEnd)+('Lucy Levene'!G37&lt;DayStart))&gt;0)+('Tom Bock'!B37=$C37)*ISNUMBER('Tom Bock'!C37)*((('Tom Bock'!C37+VisitHrs/24&gt;DayEnd)+('Tom Bock'!C37&lt;DayStart))&gt;0)+('Tom Bock'!D37=$C37)*ISNUMBER('Tom Bock'!E37)*((('Tom Bock'!E37+VisitHrs/24&gt;DayEnd)+('Tom Bock'!E37&lt;DayStart))&gt;0)+('Tom Bock'!F37=$C37)*ISNUMBER('Tom Bock'!G37)*((('Tom Bock'!G37+VisitHrs/24&gt;DayEnd)+('Tom Bock'!G37&lt;DayStart))&gt;0)+(Jeremy!B37=$C37)*ISNUMBER(Jeremy!C37)*(((Jeremy!C37+VisitHrs/24&gt;DayEnd)+(Jeremy!C37&lt;DayStart))&gt;0)+(Jeremy!D37=$C37)*ISNUMBER(Jeremy!E37)*(((Jeremy!E37+VisitHrs/24&gt;DayEnd)+(Jeremy!E37&lt;DayStart))&gt;0)+(Jeremy!F37=$C37)*ISNUMBER(Jeremy!G37)*(((Jeremy!G37+VisitHrs/24&gt;DayEnd)+(Jeremy!G37&lt;DayStart))&gt;0)+('Test Patient'!B37=$C37)*ISNUMBER('Test Patient'!C37)*((('Test Patient'!C37+VisitHrs/24&gt;DayEnd)+('Test Patient'!C37&lt;DayStart))&gt;0)+('Test Patient'!D37=$C37)*ISNUMBER('Test Patient'!E37)*((('Test Patient'!E37+VisitHrs/24&gt;DayEnd)+('Test Patient'!E37&lt;DayStart))&gt;0)+('Test Patient'!F37=$C37)*ISNUMBER('Test Patient'!G37)*((('Test Patient'!G37+VisitHrs/24&gt;DayEnd)+('Test Patient'!G37&lt;DayStart))&gt;0))+((('Anita Klesch'!$C37=$C37)+('Test Patient 2'!$C37=$C37))-1)+($B37=$C37)*($C37&lt;&gt;"")&gt;=1,1,0),0)</f>
        <v>0</v>
      </c>
      <c r="L37" s="12"/>
      <c r="M37" s="12">
        <f t="shared" si="1"/>
        <v>0</v>
      </c>
      <c r="N37" s="12">
        <f t="shared" si="2"/>
        <v>0</v>
      </c>
    </row>
    <row r="38" spans="1:14" x14ac:dyDescent="0.2">
      <c r="A38" s="2">
        <f t="shared" si="3"/>
        <v>46244</v>
      </c>
      <c r="B38" s="19"/>
      <c r="C38" s="19"/>
      <c r="H38" s="12">
        <f t="shared" si="0"/>
        <v>1</v>
      </c>
      <c r="I38" s="12"/>
      <c r="J38" s="12">
        <f>IF(AND($H38=1,$B38&lt;&gt;""),IF((('Lucy Levene'!B38=$B38)*ISNUMBER('Lucy Levene'!C38)*('Lucy Levene'!C38&lt;DayEnd)*('Lucy Levene'!C38+VisitHrs/24&gt;DayStart)+('Lucy Levene'!D38=$B38)*ISNUMBER('Lucy Levene'!E38)*('Lucy Levene'!E38&lt;DayEnd)*('Lucy Levene'!E38+VisitHrs/24&gt;DayStart)+('Lucy Levene'!F38=$B38)*ISNUMBER('Lucy Levene'!G38)*('Lucy Levene'!G38&lt;DayEnd)*('Lucy Levene'!G38+VisitHrs/24&gt;DayStart)+('Tom Bock'!B38=$B38)*ISNUMBER('Tom Bock'!C38)*('Tom Bock'!C38&lt;DayEnd)*('Tom Bock'!C38+VisitHrs/24&gt;DayStart)+('Tom Bock'!D38=$B38)*ISNUMBER('Tom Bock'!E38)*('Tom Bock'!E38&lt;DayEnd)*('Tom Bock'!E38+VisitHrs/24&gt;DayStart)+('Tom Bock'!F38=$B38)*ISNUMBER('Tom Bock'!G38)*('Tom Bock'!G38&lt;DayEnd)*('Tom Bock'!G38+VisitHrs/24&gt;DayStart)+(Jeremy!B38=$B38)*ISNUMBER(Jeremy!C38)*(Jeremy!C38&lt;DayEnd)*(Jeremy!C38+VisitHrs/24&gt;DayStart)+(Jeremy!D38=$B38)*ISNUMBER(Jeremy!E38)*(Jeremy!E38&lt;DayEnd)*(Jeremy!E38+VisitHrs/24&gt;DayStart)+(Jeremy!F38=$B38)*ISNUMBER(Jeremy!G38)*(Jeremy!G38&lt;DayEnd)*(Jeremy!G38+VisitHrs/24&gt;DayStart)+('Test Patient'!B38=$B38)*ISNUMBER('Test Patient'!C38)*('Test Patient'!C38&lt;DayEnd)*('Test Patient'!C38+VisitHrs/24&gt;DayStart)+('Test Patient'!D38=$B38)*ISNUMBER('Test Patient'!E38)*('Test Patient'!E38&lt;DayEnd)*('Test Patient'!E38+VisitHrs/24&gt;DayStart)+('Test Patient'!F38=$B38)*ISNUMBER('Test Patient'!G38)*('Test Patient'!G38&lt;DayEnd)*('Test Patient'!G38+VisitHrs/24&gt;DayStart))+((('Anita Klesch'!$B38=$B38)+('Test Patient 2'!$B38=$B38))-1)+($C38=$B38)*($B38&lt;&gt;"")&gt;=1,1,0),0)</f>
        <v>0</v>
      </c>
      <c r="K38" s="12">
        <f>IF(AND($H38=1,$C38&lt;&gt;""),IF((('Lucy Levene'!B38=$C38)*ISNUMBER('Lucy Levene'!C38)*((('Lucy Levene'!C38+VisitHrs/24&gt;DayEnd)+('Lucy Levene'!C38&lt;DayStart))&gt;0)+('Lucy Levene'!D38=$C38)*ISNUMBER('Lucy Levene'!E38)*((('Lucy Levene'!E38+VisitHrs/24&gt;DayEnd)+('Lucy Levene'!E38&lt;DayStart))&gt;0)+('Lucy Levene'!F38=$C38)*ISNUMBER('Lucy Levene'!G38)*((('Lucy Levene'!G38+VisitHrs/24&gt;DayEnd)+('Lucy Levene'!G38&lt;DayStart))&gt;0)+('Tom Bock'!B38=$C38)*ISNUMBER('Tom Bock'!C38)*((('Tom Bock'!C38+VisitHrs/24&gt;DayEnd)+('Tom Bock'!C38&lt;DayStart))&gt;0)+('Tom Bock'!D38=$C38)*ISNUMBER('Tom Bock'!E38)*((('Tom Bock'!E38+VisitHrs/24&gt;DayEnd)+('Tom Bock'!E38&lt;DayStart))&gt;0)+('Tom Bock'!F38=$C38)*ISNUMBER('Tom Bock'!G38)*((('Tom Bock'!G38+VisitHrs/24&gt;DayEnd)+('Tom Bock'!G38&lt;DayStart))&gt;0)+(Jeremy!B38=$C38)*ISNUMBER(Jeremy!C38)*(((Jeremy!C38+VisitHrs/24&gt;DayEnd)+(Jeremy!C38&lt;DayStart))&gt;0)+(Jeremy!D38=$C38)*ISNUMBER(Jeremy!E38)*(((Jeremy!E38+VisitHrs/24&gt;DayEnd)+(Jeremy!E38&lt;DayStart))&gt;0)+(Jeremy!F38=$C38)*ISNUMBER(Jeremy!G38)*(((Jeremy!G38+VisitHrs/24&gt;DayEnd)+(Jeremy!G38&lt;DayStart))&gt;0)+('Test Patient'!B38=$C38)*ISNUMBER('Test Patient'!C38)*((('Test Patient'!C38+VisitHrs/24&gt;DayEnd)+('Test Patient'!C38&lt;DayStart))&gt;0)+('Test Patient'!D38=$C38)*ISNUMBER('Test Patient'!E38)*((('Test Patient'!E38+VisitHrs/24&gt;DayEnd)+('Test Patient'!E38&lt;DayStart))&gt;0)+('Test Patient'!F38=$C38)*ISNUMBER('Test Patient'!G38)*((('Test Patient'!G38+VisitHrs/24&gt;DayEnd)+('Test Patient'!G38&lt;DayStart))&gt;0))+((('Anita Klesch'!$C38=$C38)+('Test Patient 2'!$C38=$C38))-1)+($B38=$C38)*($C38&lt;&gt;"")&gt;=1,1,0),0)</f>
        <v>0</v>
      </c>
      <c r="L38" s="12"/>
      <c r="M38" s="12">
        <f t="shared" si="1"/>
        <v>0</v>
      </c>
      <c r="N38" s="12">
        <f t="shared" si="2"/>
        <v>0</v>
      </c>
    </row>
    <row r="39" spans="1:14" x14ac:dyDescent="0.2">
      <c r="A39" s="2">
        <f t="shared" si="3"/>
        <v>46245</v>
      </c>
      <c r="B39" s="19"/>
      <c r="C39" s="19"/>
      <c r="H39" s="12">
        <f t="shared" si="0"/>
        <v>1</v>
      </c>
      <c r="I39" s="12"/>
      <c r="J39" s="12">
        <f>IF(AND($H39=1,$B39&lt;&gt;""),IF((('Lucy Levene'!B39=$B39)*ISNUMBER('Lucy Levene'!C39)*('Lucy Levene'!C39&lt;DayEnd)*('Lucy Levene'!C39+VisitHrs/24&gt;DayStart)+('Lucy Levene'!D39=$B39)*ISNUMBER('Lucy Levene'!E39)*('Lucy Levene'!E39&lt;DayEnd)*('Lucy Levene'!E39+VisitHrs/24&gt;DayStart)+('Lucy Levene'!F39=$B39)*ISNUMBER('Lucy Levene'!G39)*('Lucy Levene'!G39&lt;DayEnd)*('Lucy Levene'!G39+VisitHrs/24&gt;DayStart)+('Tom Bock'!B39=$B39)*ISNUMBER('Tom Bock'!C39)*('Tom Bock'!C39&lt;DayEnd)*('Tom Bock'!C39+VisitHrs/24&gt;DayStart)+('Tom Bock'!D39=$B39)*ISNUMBER('Tom Bock'!E39)*('Tom Bock'!E39&lt;DayEnd)*('Tom Bock'!E39+VisitHrs/24&gt;DayStart)+('Tom Bock'!F39=$B39)*ISNUMBER('Tom Bock'!G39)*('Tom Bock'!G39&lt;DayEnd)*('Tom Bock'!G39+VisitHrs/24&gt;DayStart)+(Jeremy!B39=$B39)*ISNUMBER(Jeremy!C39)*(Jeremy!C39&lt;DayEnd)*(Jeremy!C39+VisitHrs/24&gt;DayStart)+(Jeremy!D39=$B39)*ISNUMBER(Jeremy!E39)*(Jeremy!E39&lt;DayEnd)*(Jeremy!E39+VisitHrs/24&gt;DayStart)+(Jeremy!F39=$B39)*ISNUMBER(Jeremy!G39)*(Jeremy!G39&lt;DayEnd)*(Jeremy!G39+VisitHrs/24&gt;DayStart)+('Test Patient'!B39=$B39)*ISNUMBER('Test Patient'!C39)*('Test Patient'!C39&lt;DayEnd)*('Test Patient'!C39+VisitHrs/24&gt;DayStart)+('Test Patient'!D39=$B39)*ISNUMBER('Test Patient'!E39)*('Test Patient'!E39&lt;DayEnd)*('Test Patient'!E39+VisitHrs/24&gt;DayStart)+('Test Patient'!F39=$B39)*ISNUMBER('Test Patient'!G39)*('Test Patient'!G39&lt;DayEnd)*('Test Patient'!G39+VisitHrs/24&gt;DayStart))+((('Anita Klesch'!$B39=$B39)+('Test Patient 2'!$B39=$B39))-1)+($C39=$B39)*($B39&lt;&gt;"")&gt;=1,1,0),0)</f>
        <v>0</v>
      </c>
      <c r="K39" s="12">
        <f>IF(AND($H39=1,$C39&lt;&gt;""),IF((('Lucy Levene'!B39=$C39)*ISNUMBER('Lucy Levene'!C39)*((('Lucy Levene'!C39+VisitHrs/24&gt;DayEnd)+('Lucy Levene'!C39&lt;DayStart))&gt;0)+('Lucy Levene'!D39=$C39)*ISNUMBER('Lucy Levene'!E39)*((('Lucy Levene'!E39+VisitHrs/24&gt;DayEnd)+('Lucy Levene'!E39&lt;DayStart))&gt;0)+('Lucy Levene'!F39=$C39)*ISNUMBER('Lucy Levene'!G39)*((('Lucy Levene'!G39+VisitHrs/24&gt;DayEnd)+('Lucy Levene'!G39&lt;DayStart))&gt;0)+('Tom Bock'!B39=$C39)*ISNUMBER('Tom Bock'!C39)*((('Tom Bock'!C39+VisitHrs/24&gt;DayEnd)+('Tom Bock'!C39&lt;DayStart))&gt;0)+('Tom Bock'!D39=$C39)*ISNUMBER('Tom Bock'!E39)*((('Tom Bock'!E39+VisitHrs/24&gt;DayEnd)+('Tom Bock'!E39&lt;DayStart))&gt;0)+('Tom Bock'!F39=$C39)*ISNUMBER('Tom Bock'!G39)*((('Tom Bock'!G39+VisitHrs/24&gt;DayEnd)+('Tom Bock'!G39&lt;DayStart))&gt;0)+(Jeremy!B39=$C39)*ISNUMBER(Jeremy!C39)*(((Jeremy!C39+VisitHrs/24&gt;DayEnd)+(Jeremy!C39&lt;DayStart))&gt;0)+(Jeremy!D39=$C39)*ISNUMBER(Jeremy!E39)*(((Jeremy!E39+VisitHrs/24&gt;DayEnd)+(Jeremy!E39&lt;DayStart))&gt;0)+(Jeremy!F39=$C39)*ISNUMBER(Jeremy!G39)*(((Jeremy!G39+VisitHrs/24&gt;DayEnd)+(Jeremy!G39&lt;DayStart))&gt;0)+('Test Patient'!B39=$C39)*ISNUMBER('Test Patient'!C39)*((('Test Patient'!C39+VisitHrs/24&gt;DayEnd)+('Test Patient'!C39&lt;DayStart))&gt;0)+('Test Patient'!D39=$C39)*ISNUMBER('Test Patient'!E39)*((('Test Patient'!E39+VisitHrs/24&gt;DayEnd)+('Test Patient'!E39&lt;DayStart))&gt;0)+('Test Patient'!F39=$C39)*ISNUMBER('Test Patient'!G39)*((('Test Patient'!G39+VisitHrs/24&gt;DayEnd)+('Test Patient'!G39&lt;DayStart))&gt;0))+((('Anita Klesch'!$C39=$C39)+('Test Patient 2'!$C39=$C39))-1)+($B39=$C39)*($C39&lt;&gt;"")&gt;=1,1,0),0)</f>
        <v>0</v>
      </c>
      <c r="L39" s="12"/>
      <c r="M39" s="12">
        <f t="shared" si="1"/>
        <v>0</v>
      </c>
      <c r="N39" s="12">
        <f t="shared" si="2"/>
        <v>0</v>
      </c>
    </row>
    <row r="40" spans="1:14" x14ac:dyDescent="0.2">
      <c r="A40" s="2">
        <f t="shared" si="3"/>
        <v>46246</v>
      </c>
      <c r="B40" s="19"/>
      <c r="C40" s="19"/>
      <c r="H40" s="12">
        <f t="shared" si="0"/>
        <v>1</v>
      </c>
      <c r="I40" s="12"/>
      <c r="J40" s="12">
        <f>IF(AND($H40=1,$B40&lt;&gt;""),IF((('Lucy Levene'!B40=$B40)*ISNUMBER('Lucy Levene'!C40)*('Lucy Levene'!C40&lt;DayEnd)*('Lucy Levene'!C40+VisitHrs/24&gt;DayStart)+('Lucy Levene'!D40=$B40)*ISNUMBER('Lucy Levene'!E40)*('Lucy Levene'!E40&lt;DayEnd)*('Lucy Levene'!E40+VisitHrs/24&gt;DayStart)+('Lucy Levene'!F40=$B40)*ISNUMBER('Lucy Levene'!G40)*('Lucy Levene'!G40&lt;DayEnd)*('Lucy Levene'!G40+VisitHrs/24&gt;DayStart)+('Tom Bock'!B40=$B40)*ISNUMBER('Tom Bock'!C40)*('Tom Bock'!C40&lt;DayEnd)*('Tom Bock'!C40+VisitHrs/24&gt;DayStart)+('Tom Bock'!D40=$B40)*ISNUMBER('Tom Bock'!E40)*('Tom Bock'!E40&lt;DayEnd)*('Tom Bock'!E40+VisitHrs/24&gt;DayStart)+('Tom Bock'!F40=$B40)*ISNUMBER('Tom Bock'!G40)*('Tom Bock'!G40&lt;DayEnd)*('Tom Bock'!G40+VisitHrs/24&gt;DayStart)+(Jeremy!B40=$B40)*ISNUMBER(Jeremy!C40)*(Jeremy!C40&lt;DayEnd)*(Jeremy!C40+VisitHrs/24&gt;DayStart)+(Jeremy!D40=$B40)*ISNUMBER(Jeremy!E40)*(Jeremy!E40&lt;DayEnd)*(Jeremy!E40+VisitHrs/24&gt;DayStart)+(Jeremy!F40=$B40)*ISNUMBER(Jeremy!G40)*(Jeremy!G40&lt;DayEnd)*(Jeremy!G40+VisitHrs/24&gt;DayStart)+('Test Patient'!B40=$B40)*ISNUMBER('Test Patient'!C40)*('Test Patient'!C40&lt;DayEnd)*('Test Patient'!C40+VisitHrs/24&gt;DayStart)+('Test Patient'!D40=$B40)*ISNUMBER('Test Patient'!E40)*('Test Patient'!E40&lt;DayEnd)*('Test Patient'!E40+VisitHrs/24&gt;DayStart)+('Test Patient'!F40=$B40)*ISNUMBER('Test Patient'!G40)*('Test Patient'!G40&lt;DayEnd)*('Test Patient'!G40+VisitHrs/24&gt;DayStart))+((('Anita Klesch'!$B40=$B40)+('Test Patient 2'!$B40=$B40))-1)+($C40=$B40)*($B40&lt;&gt;"")&gt;=1,1,0),0)</f>
        <v>0</v>
      </c>
      <c r="K40" s="12">
        <f>IF(AND($H40=1,$C40&lt;&gt;""),IF((('Lucy Levene'!B40=$C40)*ISNUMBER('Lucy Levene'!C40)*((('Lucy Levene'!C40+VisitHrs/24&gt;DayEnd)+('Lucy Levene'!C40&lt;DayStart))&gt;0)+('Lucy Levene'!D40=$C40)*ISNUMBER('Lucy Levene'!E40)*((('Lucy Levene'!E40+VisitHrs/24&gt;DayEnd)+('Lucy Levene'!E40&lt;DayStart))&gt;0)+('Lucy Levene'!F40=$C40)*ISNUMBER('Lucy Levene'!G40)*((('Lucy Levene'!G40+VisitHrs/24&gt;DayEnd)+('Lucy Levene'!G40&lt;DayStart))&gt;0)+('Tom Bock'!B40=$C40)*ISNUMBER('Tom Bock'!C40)*((('Tom Bock'!C40+VisitHrs/24&gt;DayEnd)+('Tom Bock'!C40&lt;DayStart))&gt;0)+('Tom Bock'!D40=$C40)*ISNUMBER('Tom Bock'!E40)*((('Tom Bock'!E40+VisitHrs/24&gt;DayEnd)+('Tom Bock'!E40&lt;DayStart))&gt;0)+('Tom Bock'!F40=$C40)*ISNUMBER('Tom Bock'!G40)*((('Tom Bock'!G40+VisitHrs/24&gt;DayEnd)+('Tom Bock'!G40&lt;DayStart))&gt;0)+(Jeremy!B40=$C40)*ISNUMBER(Jeremy!C40)*(((Jeremy!C40+VisitHrs/24&gt;DayEnd)+(Jeremy!C40&lt;DayStart))&gt;0)+(Jeremy!D40=$C40)*ISNUMBER(Jeremy!E40)*(((Jeremy!E40+VisitHrs/24&gt;DayEnd)+(Jeremy!E40&lt;DayStart))&gt;0)+(Jeremy!F40=$C40)*ISNUMBER(Jeremy!G40)*(((Jeremy!G40+VisitHrs/24&gt;DayEnd)+(Jeremy!G40&lt;DayStart))&gt;0)+('Test Patient'!B40=$C40)*ISNUMBER('Test Patient'!C40)*((('Test Patient'!C40+VisitHrs/24&gt;DayEnd)+('Test Patient'!C40&lt;DayStart))&gt;0)+('Test Patient'!D40=$C40)*ISNUMBER('Test Patient'!E40)*((('Test Patient'!E40+VisitHrs/24&gt;DayEnd)+('Test Patient'!E40&lt;DayStart))&gt;0)+('Test Patient'!F40=$C40)*ISNUMBER('Test Patient'!G40)*((('Test Patient'!G40+VisitHrs/24&gt;DayEnd)+('Test Patient'!G40&lt;DayStart))&gt;0))+((('Anita Klesch'!$C40=$C40)+('Test Patient 2'!$C40=$C40))-1)+($B40=$C40)*($C40&lt;&gt;"")&gt;=1,1,0),0)</f>
        <v>0</v>
      </c>
      <c r="L40" s="12"/>
      <c r="M40" s="12">
        <f t="shared" si="1"/>
        <v>0</v>
      </c>
      <c r="N40" s="12">
        <f t="shared" si="2"/>
        <v>0</v>
      </c>
    </row>
    <row r="41" spans="1:14" x14ac:dyDescent="0.2">
      <c r="A41" s="2">
        <f t="shared" si="3"/>
        <v>46247</v>
      </c>
      <c r="B41" s="19"/>
      <c r="C41" s="19"/>
      <c r="H41" s="12">
        <f t="shared" si="0"/>
        <v>1</v>
      </c>
      <c r="I41" s="12"/>
      <c r="J41" s="12">
        <f>IF(AND($H41=1,$B41&lt;&gt;""),IF((('Lucy Levene'!B41=$B41)*ISNUMBER('Lucy Levene'!C41)*('Lucy Levene'!C41&lt;DayEnd)*('Lucy Levene'!C41+VisitHrs/24&gt;DayStart)+('Lucy Levene'!D41=$B41)*ISNUMBER('Lucy Levene'!E41)*('Lucy Levene'!E41&lt;DayEnd)*('Lucy Levene'!E41+VisitHrs/24&gt;DayStart)+('Lucy Levene'!F41=$B41)*ISNUMBER('Lucy Levene'!G41)*('Lucy Levene'!G41&lt;DayEnd)*('Lucy Levene'!G41+VisitHrs/24&gt;DayStart)+('Tom Bock'!B41=$B41)*ISNUMBER('Tom Bock'!C41)*('Tom Bock'!C41&lt;DayEnd)*('Tom Bock'!C41+VisitHrs/24&gt;DayStart)+('Tom Bock'!D41=$B41)*ISNUMBER('Tom Bock'!E41)*('Tom Bock'!E41&lt;DayEnd)*('Tom Bock'!E41+VisitHrs/24&gt;DayStart)+('Tom Bock'!F41=$B41)*ISNUMBER('Tom Bock'!G41)*('Tom Bock'!G41&lt;DayEnd)*('Tom Bock'!G41+VisitHrs/24&gt;DayStart)+(Jeremy!B41=$B41)*ISNUMBER(Jeremy!C41)*(Jeremy!C41&lt;DayEnd)*(Jeremy!C41+VisitHrs/24&gt;DayStart)+(Jeremy!D41=$B41)*ISNUMBER(Jeremy!E41)*(Jeremy!E41&lt;DayEnd)*(Jeremy!E41+VisitHrs/24&gt;DayStart)+(Jeremy!F41=$B41)*ISNUMBER(Jeremy!G41)*(Jeremy!G41&lt;DayEnd)*(Jeremy!G41+VisitHrs/24&gt;DayStart)+('Test Patient'!B41=$B41)*ISNUMBER('Test Patient'!C41)*('Test Patient'!C41&lt;DayEnd)*('Test Patient'!C41+VisitHrs/24&gt;DayStart)+('Test Patient'!D41=$B41)*ISNUMBER('Test Patient'!E41)*('Test Patient'!E41&lt;DayEnd)*('Test Patient'!E41+VisitHrs/24&gt;DayStart)+('Test Patient'!F41=$B41)*ISNUMBER('Test Patient'!G41)*('Test Patient'!G41&lt;DayEnd)*('Test Patient'!G41+VisitHrs/24&gt;DayStart))+((('Anita Klesch'!$B41=$B41)+('Test Patient 2'!$B41=$B41))-1)+($C41=$B41)*($B41&lt;&gt;"")&gt;=1,1,0),0)</f>
        <v>0</v>
      </c>
      <c r="K41" s="12">
        <f>IF(AND($H41=1,$C41&lt;&gt;""),IF((('Lucy Levene'!B41=$C41)*ISNUMBER('Lucy Levene'!C41)*((('Lucy Levene'!C41+VisitHrs/24&gt;DayEnd)+('Lucy Levene'!C41&lt;DayStart))&gt;0)+('Lucy Levene'!D41=$C41)*ISNUMBER('Lucy Levene'!E41)*((('Lucy Levene'!E41+VisitHrs/24&gt;DayEnd)+('Lucy Levene'!E41&lt;DayStart))&gt;0)+('Lucy Levene'!F41=$C41)*ISNUMBER('Lucy Levene'!G41)*((('Lucy Levene'!G41+VisitHrs/24&gt;DayEnd)+('Lucy Levene'!G41&lt;DayStart))&gt;0)+('Tom Bock'!B41=$C41)*ISNUMBER('Tom Bock'!C41)*((('Tom Bock'!C41+VisitHrs/24&gt;DayEnd)+('Tom Bock'!C41&lt;DayStart))&gt;0)+('Tom Bock'!D41=$C41)*ISNUMBER('Tom Bock'!E41)*((('Tom Bock'!E41+VisitHrs/24&gt;DayEnd)+('Tom Bock'!E41&lt;DayStart))&gt;0)+('Tom Bock'!F41=$C41)*ISNUMBER('Tom Bock'!G41)*((('Tom Bock'!G41+VisitHrs/24&gt;DayEnd)+('Tom Bock'!G41&lt;DayStart))&gt;0)+(Jeremy!B41=$C41)*ISNUMBER(Jeremy!C41)*(((Jeremy!C41+VisitHrs/24&gt;DayEnd)+(Jeremy!C41&lt;DayStart))&gt;0)+(Jeremy!D41=$C41)*ISNUMBER(Jeremy!E41)*(((Jeremy!E41+VisitHrs/24&gt;DayEnd)+(Jeremy!E41&lt;DayStart))&gt;0)+(Jeremy!F41=$C41)*ISNUMBER(Jeremy!G41)*(((Jeremy!G41+VisitHrs/24&gt;DayEnd)+(Jeremy!G41&lt;DayStart))&gt;0)+('Test Patient'!B41=$C41)*ISNUMBER('Test Patient'!C41)*((('Test Patient'!C41+VisitHrs/24&gt;DayEnd)+('Test Patient'!C41&lt;DayStart))&gt;0)+('Test Patient'!D41=$C41)*ISNUMBER('Test Patient'!E41)*((('Test Patient'!E41+VisitHrs/24&gt;DayEnd)+('Test Patient'!E41&lt;DayStart))&gt;0)+('Test Patient'!F41=$C41)*ISNUMBER('Test Patient'!G41)*((('Test Patient'!G41+VisitHrs/24&gt;DayEnd)+('Test Patient'!G41&lt;DayStart))&gt;0))+((('Anita Klesch'!$C41=$C41)+('Test Patient 2'!$C41=$C41))-1)+($B41=$C41)*($C41&lt;&gt;"")&gt;=1,1,0),0)</f>
        <v>0</v>
      </c>
      <c r="L41" s="12"/>
      <c r="M41" s="12">
        <f t="shared" si="1"/>
        <v>0</v>
      </c>
      <c r="N41" s="12">
        <f t="shared" si="2"/>
        <v>0</v>
      </c>
    </row>
    <row r="42" spans="1:14" x14ac:dyDescent="0.2">
      <c r="A42" s="2">
        <f t="shared" si="3"/>
        <v>46248</v>
      </c>
      <c r="B42" s="19"/>
      <c r="C42" s="19"/>
      <c r="H42" s="12">
        <f t="shared" si="0"/>
        <v>1</v>
      </c>
      <c r="I42" s="12"/>
      <c r="J42" s="12">
        <f>IF(AND($H42=1,$B42&lt;&gt;""),IF((('Lucy Levene'!B42=$B42)*ISNUMBER('Lucy Levene'!C42)*('Lucy Levene'!C42&lt;DayEnd)*('Lucy Levene'!C42+VisitHrs/24&gt;DayStart)+('Lucy Levene'!D42=$B42)*ISNUMBER('Lucy Levene'!E42)*('Lucy Levene'!E42&lt;DayEnd)*('Lucy Levene'!E42+VisitHrs/24&gt;DayStart)+('Lucy Levene'!F42=$B42)*ISNUMBER('Lucy Levene'!G42)*('Lucy Levene'!G42&lt;DayEnd)*('Lucy Levene'!G42+VisitHrs/24&gt;DayStart)+('Tom Bock'!B42=$B42)*ISNUMBER('Tom Bock'!C42)*('Tom Bock'!C42&lt;DayEnd)*('Tom Bock'!C42+VisitHrs/24&gt;DayStart)+('Tom Bock'!D42=$B42)*ISNUMBER('Tom Bock'!E42)*('Tom Bock'!E42&lt;DayEnd)*('Tom Bock'!E42+VisitHrs/24&gt;DayStart)+('Tom Bock'!F42=$B42)*ISNUMBER('Tom Bock'!G42)*('Tom Bock'!G42&lt;DayEnd)*('Tom Bock'!G42+VisitHrs/24&gt;DayStart)+(Jeremy!B42=$B42)*ISNUMBER(Jeremy!C42)*(Jeremy!C42&lt;DayEnd)*(Jeremy!C42+VisitHrs/24&gt;DayStart)+(Jeremy!D42=$B42)*ISNUMBER(Jeremy!E42)*(Jeremy!E42&lt;DayEnd)*(Jeremy!E42+VisitHrs/24&gt;DayStart)+(Jeremy!F42=$B42)*ISNUMBER(Jeremy!G42)*(Jeremy!G42&lt;DayEnd)*(Jeremy!G42+VisitHrs/24&gt;DayStart)+('Test Patient'!B42=$B42)*ISNUMBER('Test Patient'!C42)*('Test Patient'!C42&lt;DayEnd)*('Test Patient'!C42+VisitHrs/24&gt;DayStart)+('Test Patient'!D42=$B42)*ISNUMBER('Test Patient'!E42)*('Test Patient'!E42&lt;DayEnd)*('Test Patient'!E42+VisitHrs/24&gt;DayStart)+('Test Patient'!F42=$B42)*ISNUMBER('Test Patient'!G42)*('Test Patient'!G42&lt;DayEnd)*('Test Patient'!G42+VisitHrs/24&gt;DayStart))+((('Anita Klesch'!$B42=$B42)+('Test Patient 2'!$B42=$B42))-1)+($C42=$B42)*($B42&lt;&gt;"")&gt;=1,1,0),0)</f>
        <v>0</v>
      </c>
      <c r="K42" s="12">
        <f>IF(AND($H42=1,$C42&lt;&gt;""),IF((('Lucy Levene'!B42=$C42)*ISNUMBER('Lucy Levene'!C42)*((('Lucy Levene'!C42+VisitHrs/24&gt;DayEnd)+('Lucy Levene'!C42&lt;DayStart))&gt;0)+('Lucy Levene'!D42=$C42)*ISNUMBER('Lucy Levene'!E42)*((('Lucy Levene'!E42+VisitHrs/24&gt;DayEnd)+('Lucy Levene'!E42&lt;DayStart))&gt;0)+('Lucy Levene'!F42=$C42)*ISNUMBER('Lucy Levene'!G42)*((('Lucy Levene'!G42+VisitHrs/24&gt;DayEnd)+('Lucy Levene'!G42&lt;DayStart))&gt;0)+('Tom Bock'!B42=$C42)*ISNUMBER('Tom Bock'!C42)*((('Tom Bock'!C42+VisitHrs/24&gt;DayEnd)+('Tom Bock'!C42&lt;DayStart))&gt;0)+('Tom Bock'!D42=$C42)*ISNUMBER('Tom Bock'!E42)*((('Tom Bock'!E42+VisitHrs/24&gt;DayEnd)+('Tom Bock'!E42&lt;DayStart))&gt;0)+('Tom Bock'!F42=$C42)*ISNUMBER('Tom Bock'!G42)*((('Tom Bock'!G42+VisitHrs/24&gt;DayEnd)+('Tom Bock'!G42&lt;DayStart))&gt;0)+(Jeremy!B42=$C42)*ISNUMBER(Jeremy!C42)*(((Jeremy!C42+VisitHrs/24&gt;DayEnd)+(Jeremy!C42&lt;DayStart))&gt;0)+(Jeremy!D42=$C42)*ISNUMBER(Jeremy!E42)*(((Jeremy!E42+VisitHrs/24&gt;DayEnd)+(Jeremy!E42&lt;DayStart))&gt;0)+(Jeremy!F42=$C42)*ISNUMBER(Jeremy!G42)*(((Jeremy!G42+VisitHrs/24&gt;DayEnd)+(Jeremy!G42&lt;DayStart))&gt;0)+('Test Patient'!B42=$C42)*ISNUMBER('Test Patient'!C42)*((('Test Patient'!C42+VisitHrs/24&gt;DayEnd)+('Test Patient'!C42&lt;DayStart))&gt;0)+('Test Patient'!D42=$C42)*ISNUMBER('Test Patient'!E42)*((('Test Patient'!E42+VisitHrs/24&gt;DayEnd)+('Test Patient'!E42&lt;DayStart))&gt;0)+('Test Patient'!F42=$C42)*ISNUMBER('Test Patient'!G42)*((('Test Patient'!G42+VisitHrs/24&gt;DayEnd)+('Test Patient'!G42&lt;DayStart))&gt;0))+((('Anita Klesch'!$C42=$C42)+('Test Patient 2'!$C42=$C42))-1)+($B42=$C42)*($C42&lt;&gt;"")&gt;=1,1,0),0)</f>
        <v>0</v>
      </c>
      <c r="L42" s="12"/>
      <c r="M42" s="12">
        <f t="shared" si="1"/>
        <v>0</v>
      </c>
      <c r="N42" s="12">
        <f t="shared" si="2"/>
        <v>0</v>
      </c>
    </row>
  </sheetData>
  <mergeCells count="2">
    <mergeCell ref="A1:C1"/>
    <mergeCell ref="A2:C2"/>
  </mergeCells>
  <conditionalFormatting sqref="A5:A42">
    <cfRule type="expression" dxfId="12" priority="5">
      <formula>WEEKDAY($A5,2)&gt;5</formula>
    </cfRule>
  </conditionalFormatting>
  <conditionalFormatting sqref="A5:C42">
    <cfRule type="expression" dxfId="11" priority="1" stopIfTrue="1">
      <formula>$H5=0</formula>
    </cfRule>
  </conditionalFormatting>
  <conditionalFormatting sqref="B5:B42">
    <cfRule type="expression" dxfId="10" priority="2">
      <formula>$J5=1</formula>
    </cfRule>
  </conditionalFormatting>
  <conditionalFormatting sqref="B5:C42">
    <cfRule type="expression" dxfId="9" priority="4">
      <formula>AND($A5&lt;&gt;"",$H5=1,B5="")</formula>
    </cfRule>
  </conditionalFormatting>
  <conditionalFormatting sqref="C5:C42">
    <cfRule type="expression" dxfId="8" priority="3">
      <formula>$K5=1</formula>
    </cfRule>
  </conditionalFormatting>
  <dataValidations count="1">
    <dataValidation type="list" allowBlank="1" showInputMessage="1" showErrorMessage="1" sqref="B5:C42" xr:uid="{61DB62ED-D407-4C2D-AEBE-B4EF41EC54B8}">
      <formula1>StaffList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D052A-439B-48D7-8422-701892088B7F}">
  <sheetPr>
    <tabColor rgb="FF1BA39C"/>
  </sheetPr>
  <dimension ref="A1:O42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8.1640625" customWidth="1"/>
    <col min="2" max="2" width="19" customWidth="1"/>
    <col min="3" max="3" width="11.83203125" customWidth="1"/>
    <col min="4" max="4" width="19" customWidth="1"/>
    <col min="5" max="5" width="11.83203125" customWidth="1"/>
    <col min="6" max="6" width="19" customWidth="1"/>
    <col min="7" max="7" width="11.83203125" customWidth="1"/>
    <col min="8" max="15" width="9.1640625" outlineLevel="1"/>
  </cols>
  <sheetData>
    <row r="1" spans="1:15" ht="21" x14ac:dyDescent="0.25">
      <c r="A1" s="75" t="s">
        <v>87</v>
      </c>
      <c r="B1" s="40"/>
      <c r="C1" s="40"/>
      <c r="D1" s="40"/>
      <c r="E1" s="40"/>
      <c r="F1" s="40"/>
      <c r="G1" s="40"/>
    </row>
    <row r="2" spans="1:15" x14ac:dyDescent="0.2">
      <c r="A2" s="41" t="s">
        <v>88</v>
      </c>
      <c r="B2" s="40"/>
      <c r="C2" s="40"/>
      <c r="D2" s="40"/>
      <c r="E2" s="40"/>
      <c r="F2" s="40"/>
      <c r="G2" s="40"/>
    </row>
    <row r="4" spans="1:15" x14ac:dyDescent="0.2">
      <c r="A4" s="29" t="s">
        <v>2</v>
      </c>
      <c r="B4" s="29" t="s">
        <v>63</v>
      </c>
      <c r="C4" s="29" t="s">
        <v>64</v>
      </c>
      <c r="D4" s="29" t="s">
        <v>65</v>
      </c>
      <c r="E4" s="29" t="s">
        <v>64</v>
      </c>
      <c r="F4" s="29" t="s">
        <v>66</v>
      </c>
      <c r="G4" s="29" t="s">
        <v>64</v>
      </c>
      <c r="H4" s="11" t="s">
        <v>67</v>
      </c>
      <c r="I4" s="11" t="s">
        <v>68</v>
      </c>
      <c r="J4" s="11" t="s">
        <v>69</v>
      </c>
      <c r="K4" s="11" t="s">
        <v>70</v>
      </c>
      <c r="L4" s="11" t="s">
        <v>71</v>
      </c>
      <c r="M4" s="11" t="s">
        <v>72</v>
      </c>
      <c r="N4" s="11" t="s">
        <v>73</v>
      </c>
      <c r="O4" s="11" t="s">
        <v>74</v>
      </c>
    </row>
    <row r="5" spans="1:15" x14ac:dyDescent="0.2">
      <c r="A5" s="2">
        <f>DATE(2026,7,8)</f>
        <v>46211</v>
      </c>
      <c r="B5" s="19"/>
      <c r="C5" s="25"/>
      <c r="D5" s="19"/>
      <c r="E5" s="25"/>
      <c r="F5" s="19"/>
      <c r="G5" s="25"/>
      <c r="H5" s="12">
        <f t="shared" ref="H5:H42" si="0">IF($A5="",0,IF(AND(OR(NOT(ISNUMBER(TP_Start)),TP_Start=0,$A5&gt;=TP_Start),OR(NOT(ISNUMBER(TP_End)),TP_End=0,$A5&lt;=TP_End)),1,0))</f>
        <v>1</v>
      </c>
      <c r="I5" s="12">
        <f>IF($H5=1,($B5&lt;&gt;"")+($D5&lt;&gt;"")+($F5&lt;&gt;""),0)</f>
        <v>0</v>
      </c>
      <c r="J5" s="12">
        <f>IF(AND($H5=1,$B5&lt;&gt;"",ISNUMBER($C5)),IF(((('Lucy Levene'!B5=$B5)*ISNUMBER('Lucy Levene'!C5)*(ABS('Lucy Levene'!C5-$C5)&lt;VisitHrs/24)+('Lucy Levene'!D5=$B5)*ISNUMBER('Lucy Levene'!E5)*(ABS('Lucy Levene'!E5-$C5)&lt;VisitHrs/24)+('Lucy Levene'!F5=$B5)*ISNUMBER('Lucy Levene'!G5)*(ABS('Lucy Levene'!G5-$C5)&lt;VisitHrs/24)+('Tom Bock'!B5=$B5)*ISNUMBER('Tom Bock'!C5)*(ABS('Tom Bock'!C5-$C5)&lt;VisitHrs/24)+('Tom Bock'!D5=$B5)*ISNUMBER('Tom Bock'!E5)*(ABS('Tom Bock'!E5-$C5)&lt;VisitHrs/24)+('Tom Bock'!F5=$B5)*ISNUMBER('Tom Bock'!G5)*(ABS('Tom Bock'!G5-$C5)&lt;VisitHrs/24)+(Jeremy!B5=$B5)*ISNUMBER(Jeremy!C5)*(ABS(Jeremy!C5-$C5)&lt;VisitHrs/24)+(Jeremy!D5=$B5)*ISNUMBER(Jeremy!E5)*(ABS(Jeremy!E5-$C5)&lt;VisitHrs/24)+(Jeremy!F5=$B5)*ISNUMBER(Jeremy!G5)*(ABS(Jeremy!G5-$C5)&lt;VisitHrs/24)+('Test Patient'!B5=$B5)*ISNUMBER('Test Patient'!C5)*(ABS('Test Patient'!C5-$C5)&lt;VisitHrs/24)+('Test Patient'!D5=$B5)*ISNUMBER('Test Patient'!E5)*(ABS('Test Patient'!E5-$C5)&lt;VisitHrs/24)+('Test Patient'!F5=$B5)*ISNUMBER('Test Patient'!G5)*(ABS('Test Patient'!G5-$C5)&lt;VisitHrs/24))-1)+('Anita Klesch'!$B5=$B5)*($C5&lt;DayEnd)*($C5+VisitHrs/24&gt;DayStart)+('Anita Klesch'!$C5=$B5)*((($C5+VisitHrs/24&gt;DayEnd)+($C5&lt;DayStart))&gt;0)+('Test Patient 2'!$B5=$B5)*($C5&lt;DayEnd)*($C5+VisitHrs/24&gt;DayStart)+('Test Patient 2'!$C5=$B5)*((($C5+VisitHrs/24&gt;DayEnd)+($C5&lt;DayStart))&gt;0)&gt;=1,1,0),0)</f>
        <v>0</v>
      </c>
      <c r="K5" s="12">
        <f>IF(AND($H5=1,$D5&lt;&gt;"",ISNUMBER($E5)),IF(((('Lucy Levene'!B5=$D5)*ISNUMBER('Lucy Levene'!C5)*(ABS('Lucy Levene'!C5-$E5)&lt;VisitHrs/24)+('Lucy Levene'!D5=$D5)*ISNUMBER('Lucy Levene'!E5)*(ABS('Lucy Levene'!E5-$E5)&lt;VisitHrs/24)+('Lucy Levene'!F5=$D5)*ISNUMBER('Lucy Levene'!G5)*(ABS('Lucy Levene'!G5-$E5)&lt;VisitHrs/24)+('Tom Bock'!B5=$D5)*ISNUMBER('Tom Bock'!C5)*(ABS('Tom Bock'!C5-$E5)&lt;VisitHrs/24)+('Tom Bock'!D5=$D5)*ISNUMBER('Tom Bock'!E5)*(ABS('Tom Bock'!E5-$E5)&lt;VisitHrs/24)+('Tom Bock'!F5=$D5)*ISNUMBER('Tom Bock'!G5)*(ABS('Tom Bock'!G5-$E5)&lt;VisitHrs/24)+(Jeremy!B5=$D5)*ISNUMBER(Jeremy!C5)*(ABS(Jeremy!C5-$E5)&lt;VisitHrs/24)+(Jeremy!D5=$D5)*ISNUMBER(Jeremy!E5)*(ABS(Jeremy!E5-$E5)&lt;VisitHrs/24)+(Jeremy!F5=$D5)*ISNUMBER(Jeremy!G5)*(ABS(Jeremy!G5-$E5)&lt;VisitHrs/24)+('Test Patient'!B5=$D5)*ISNUMBER('Test Patient'!C5)*(ABS('Test Patient'!C5-$E5)&lt;VisitHrs/24)+('Test Patient'!D5=$D5)*ISNUMBER('Test Patient'!E5)*(ABS('Test Patient'!E5-$E5)&lt;VisitHrs/24)+('Test Patient'!F5=$D5)*ISNUMBER('Test Patient'!G5)*(ABS('Test Patient'!G5-$E5)&lt;VisitHrs/24))-1)+('Anita Klesch'!$B5=$D5)*($E5&lt;DayEnd)*($E5+VisitHrs/24&gt;DayStart)+('Anita Klesch'!$C5=$D5)*((($E5+VisitHrs/24&gt;DayEnd)+($E5&lt;DayStart))&gt;0)+('Test Patient 2'!$B5=$D5)*($E5&lt;DayEnd)*($E5+VisitHrs/24&gt;DayStart)+('Test Patient 2'!$C5=$D5)*((($E5+VisitHrs/24&gt;DayEnd)+($E5&lt;DayStart))&gt;0)&gt;=1,1,0),0)</f>
        <v>0</v>
      </c>
      <c r="L5" s="12">
        <f>IF(AND($H5=1,$F5&lt;&gt;"",ISNUMBER($G5)),IF(((('Lucy Levene'!B5=$F5)*ISNUMBER('Lucy Levene'!C5)*(ABS('Lucy Levene'!C5-$G5)&lt;VisitHrs/24)+('Lucy Levene'!D5=$F5)*ISNUMBER('Lucy Levene'!E5)*(ABS('Lucy Levene'!E5-$G5)&lt;VisitHrs/24)+('Lucy Levene'!F5=$F5)*ISNUMBER('Lucy Levene'!G5)*(ABS('Lucy Levene'!G5-$G5)&lt;VisitHrs/24)+('Tom Bock'!B5=$F5)*ISNUMBER('Tom Bock'!C5)*(ABS('Tom Bock'!C5-$G5)&lt;VisitHrs/24)+('Tom Bock'!D5=$F5)*ISNUMBER('Tom Bock'!E5)*(ABS('Tom Bock'!E5-$G5)&lt;VisitHrs/24)+('Tom Bock'!F5=$F5)*ISNUMBER('Tom Bock'!G5)*(ABS('Tom Bock'!G5-$G5)&lt;VisitHrs/24)+(Jeremy!B5=$F5)*ISNUMBER(Jeremy!C5)*(ABS(Jeremy!C5-$G5)&lt;VisitHrs/24)+(Jeremy!D5=$F5)*ISNUMBER(Jeremy!E5)*(ABS(Jeremy!E5-$G5)&lt;VisitHrs/24)+(Jeremy!F5=$F5)*ISNUMBER(Jeremy!G5)*(ABS(Jeremy!G5-$G5)&lt;VisitHrs/24)+('Test Patient'!B5=$F5)*ISNUMBER('Test Patient'!C5)*(ABS('Test Patient'!C5-$G5)&lt;VisitHrs/24)+('Test Patient'!D5=$F5)*ISNUMBER('Test Patient'!E5)*(ABS('Test Patient'!E5-$G5)&lt;VisitHrs/24)+('Test Patient'!F5=$F5)*ISNUMBER('Test Patient'!G5)*(ABS('Test Patient'!G5-$G5)&lt;VisitHrs/24))-1)+('Anita Klesch'!$B5=$F5)*($G5&lt;DayEnd)*($G5+VisitHrs/24&gt;DayStart)+('Anita Klesch'!$C5=$F5)*((($G5+VisitHrs/24&gt;DayEnd)+($G5&lt;DayStart))&gt;0)+('Test Patient 2'!$B5=$F5)*($G5&lt;DayEnd)*($G5+VisitHrs/24&gt;DayStart)+('Test Patient 2'!$C5=$F5)*((($G5+VisitHrs/24&gt;DayEnd)+($G5&lt;DayStart))&gt;0)&gt;=1,1,0),0)</f>
        <v>0</v>
      </c>
      <c r="M5" s="12">
        <f>IF($H5=1,$B5,"")</f>
        <v>0</v>
      </c>
      <c r="N5" s="12">
        <f>IF($H5=1,$D5,"")</f>
        <v>0</v>
      </c>
      <c r="O5" s="12">
        <f>IF($H5=1,$F5,"")</f>
        <v>0</v>
      </c>
    </row>
    <row r="6" spans="1:15" x14ac:dyDescent="0.2">
      <c r="A6" s="2">
        <f>A5+1</f>
        <v>46212</v>
      </c>
      <c r="B6" s="19"/>
      <c r="C6" s="25"/>
      <c r="D6" s="19"/>
      <c r="E6" s="25"/>
      <c r="F6" s="19"/>
      <c r="G6" s="25"/>
      <c r="H6" s="12">
        <f t="shared" si="0"/>
        <v>1</v>
      </c>
      <c r="I6" s="12">
        <f t="shared" ref="I6:I42" si="1">IF($H6=1,($B6&lt;&gt;"")+($D6&lt;&gt;"")+($F6&lt;&gt;""),0)</f>
        <v>0</v>
      </c>
      <c r="J6" s="12">
        <f>IF(AND($H6=1,$B6&lt;&gt;"",ISNUMBER($C6)),IF(((('Lucy Levene'!B6=$B6)*ISNUMBER('Lucy Levene'!C6)*(ABS('Lucy Levene'!C6-$C6)&lt;VisitHrs/24)+('Lucy Levene'!D6=$B6)*ISNUMBER('Lucy Levene'!E6)*(ABS('Lucy Levene'!E6-$C6)&lt;VisitHrs/24)+('Lucy Levene'!F6=$B6)*ISNUMBER('Lucy Levene'!G6)*(ABS('Lucy Levene'!G6-$C6)&lt;VisitHrs/24)+('Tom Bock'!B6=$B6)*ISNUMBER('Tom Bock'!C6)*(ABS('Tom Bock'!C6-$C6)&lt;VisitHrs/24)+('Tom Bock'!D6=$B6)*ISNUMBER('Tom Bock'!E6)*(ABS('Tom Bock'!E6-$C6)&lt;VisitHrs/24)+('Tom Bock'!F6=$B6)*ISNUMBER('Tom Bock'!G6)*(ABS('Tom Bock'!G6-$C6)&lt;VisitHrs/24)+(Jeremy!B6=$B6)*ISNUMBER(Jeremy!C6)*(ABS(Jeremy!C6-$C6)&lt;VisitHrs/24)+(Jeremy!D6=$B6)*ISNUMBER(Jeremy!E6)*(ABS(Jeremy!E6-$C6)&lt;VisitHrs/24)+(Jeremy!F6=$B6)*ISNUMBER(Jeremy!G6)*(ABS(Jeremy!G6-$C6)&lt;VisitHrs/24)+('Test Patient'!B6=$B6)*ISNUMBER('Test Patient'!C6)*(ABS('Test Patient'!C6-$C6)&lt;VisitHrs/24)+('Test Patient'!D6=$B6)*ISNUMBER('Test Patient'!E6)*(ABS('Test Patient'!E6-$C6)&lt;VisitHrs/24)+('Test Patient'!F6=$B6)*ISNUMBER('Test Patient'!G6)*(ABS('Test Patient'!G6-$C6)&lt;VisitHrs/24))-1)+('Anita Klesch'!$B6=$B6)*($C6&lt;DayEnd)*($C6+VisitHrs/24&gt;DayStart)+('Anita Klesch'!$C6=$B6)*((($C6+VisitHrs/24&gt;DayEnd)+($C6&lt;DayStart))&gt;0)+('Test Patient 2'!$B6=$B6)*($C6&lt;DayEnd)*($C6+VisitHrs/24&gt;DayStart)+('Test Patient 2'!$C6=$B6)*((($C6+VisitHrs/24&gt;DayEnd)+($C6&lt;DayStart))&gt;0)&gt;=1,1,0),0)</f>
        <v>0</v>
      </c>
      <c r="K6" s="12">
        <f>IF(AND($H6=1,$D6&lt;&gt;"",ISNUMBER($E6)),IF(((('Lucy Levene'!B6=$D6)*ISNUMBER('Lucy Levene'!C6)*(ABS('Lucy Levene'!C6-$E6)&lt;VisitHrs/24)+('Lucy Levene'!D6=$D6)*ISNUMBER('Lucy Levene'!E6)*(ABS('Lucy Levene'!E6-$E6)&lt;VisitHrs/24)+('Lucy Levene'!F6=$D6)*ISNUMBER('Lucy Levene'!G6)*(ABS('Lucy Levene'!G6-$E6)&lt;VisitHrs/24)+('Tom Bock'!B6=$D6)*ISNUMBER('Tom Bock'!C6)*(ABS('Tom Bock'!C6-$E6)&lt;VisitHrs/24)+('Tom Bock'!D6=$D6)*ISNUMBER('Tom Bock'!E6)*(ABS('Tom Bock'!E6-$E6)&lt;VisitHrs/24)+('Tom Bock'!F6=$D6)*ISNUMBER('Tom Bock'!G6)*(ABS('Tom Bock'!G6-$E6)&lt;VisitHrs/24)+(Jeremy!B6=$D6)*ISNUMBER(Jeremy!C6)*(ABS(Jeremy!C6-$E6)&lt;VisitHrs/24)+(Jeremy!D6=$D6)*ISNUMBER(Jeremy!E6)*(ABS(Jeremy!E6-$E6)&lt;VisitHrs/24)+(Jeremy!F6=$D6)*ISNUMBER(Jeremy!G6)*(ABS(Jeremy!G6-$E6)&lt;VisitHrs/24)+('Test Patient'!B6=$D6)*ISNUMBER('Test Patient'!C6)*(ABS('Test Patient'!C6-$E6)&lt;VisitHrs/24)+('Test Patient'!D6=$D6)*ISNUMBER('Test Patient'!E6)*(ABS('Test Patient'!E6-$E6)&lt;VisitHrs/24)+('Test Patient'!F6=$D6)*ISNUMBER('Test Patient'!G6)*(ABS('Test Patient'!G6-$E6)&lt;VisitHrs/24))-1)+('Anita Klesch'!$B6=$D6)*($E6&lt;DayEnd)*($E6+VisitHrs/24&gt;DayStart)+('Anita Klesch'!$C6=$D6)*((($E6+VisitHrs/24&gt;DayEnd)+($E6&lt;DayStart))&gt;0)+('Test Patient 2'!$B6=$D6)*($E6&lt;DayEnd)*($E6+VisitHrs/24&gt;DayStart)+('Test Patient 2'!$C6=$D6)*((($E6+VisitHrs/24&gt;DayEnd)+($E6&lt;DayStart))&gt;0)&gt;=1,1,0),0)</f>
        <v>0</v>
      </c>
      <c r="L6" s="12">
        <f>IF(AND($H6=1,$F6&lt;&gt;"",ISNUMBER($G6)),IF(((('Lucy Levene'!B6=$F6)*ISNUMBER('Lucy Levene'!C6)*(ABS('Lucy Levene'!C6-$G6)&lt;VisitHrs/24)+('Lucy Levene'!D6=$F6)*ISNUMBER('Lucy Levene'!E6)*(ABS('Lucy Levene'!E6-$G6)&lt;VisitHrs/24)+('Lucy Levene'!F6=$F6)*ISNUMBER('Lucy Levene'!G6)*(ABS('Lucy Levene'!G6-$G6)&lt;VisitHrs/24)+('Tom Bock'!B6=$F6)*ISNUMBER('Tom Bock'!C6)*(ABS('Tom Bock'!C6-$G6)&lt;VisitHrs/24)+('Tom Bock'!D6=$F6)*ISNUMBER('Tom Bock'!E6)*(ABS('Tom Bock'!E6-$G6)&lt;VisitHrs/24)+('Tom Bock'!F6=$F6)*ISNUMBER('Tom Bock'!G6)*(ABS('Tom Bock'!G6-$G6)&lt;VisitHrs/24)+(Jeremy!B6=$F6)*ISNUMBER(Jeremy!C6)*(ABS(Jeremy!C6-$G6)&lt;VisitHrs/24)+(Jeremy!D6=$F6)*ISNUMBER(Jeremy!E6)*(ABS(Jeremy!E6-$G6)&lt;VisitHrs/24)+(Jeremy!F6=$F6)*ISNUMBER(Jeremy!G6)*(ABS(Jeremy!G6-$G6)&lt;VisitHrs/24)+('Test Patient'!B6=$F6)*ISNUMBER('Test Patient'!C6)*(ABS('Test Patient'!C6-$G6)&lt;VisitHrs/24)+('Test Patient'!D6=$F6)*ISNUMBER('Test Patient'!E6)*(ABS('Test Patient'!E6-$G6)&lt;VisitHrs/24)+('Test Patient'!F6=$F6)*ISNUMBER('Test Patient'!G6)*(ABS('Test Patient'!G6-$G6)&lt;VisitHrs/24))-1)+('Anita Klesch'!$B6=$F6)*($G6&lt;DayEnd)*($G6+VisitHrs/24&gt;DayStart)+('Anita Klesch'!$C6=$F6)*((($G6+VisitHrs/24&gt;DayEnd)+($G6&lt;DayStart))&gt;0)+('Test Patient 2'!$B6=$F6)*($G6&lt;DayEnd)*($G6+VisitHrs/24&gt;DayStart)+('Test Patient 2'!$C6=$F6)*((($G6+VisitHrs/24&gt;DayEnd)+($G6&lt;DayStart))&gt;0)&gt;=1,1,0),0)</f>
        <v>0</v>
      </c>
      <c r="M6" s="12">
        <f t="shared" ref="M6:M42" si="2">IF($H6=1,$B6,"")</f>
        <v>0</v>
      </c>
      <c r="N6" s="12">
        <f t="shared" ref="N6:N42" si="3">IF($H6=1,$D6,"")</f>
        <v>0</v>
      </c>
      <c r="O6" s="12">
        <f t="shared" ref="O6:O42" si="4">IF($H6=1,$F6,"")</f>
        <v>0</v>
      </c>
    </row>
    <row r="7" spans="1:15" x14ac:dyDescent="0.2">
      <c r="A7" s="2">
        <f t="shared" ref="A7:A42" si="5">A6+1</f>
        <v>46213</v>
      </c>
      <c r="B7" s="19"/>
      <c r="C7" s="25"/>
      <c r="D7" s="19"/>
      <c r="E7" s="25"/>
      <c r="F7" s="19"/>
      <c r="G7" s="25"/>
      <c r="H7" s="12">
        <f t="shared" si="0"/>
        <v>1</v>
      </c>
      <c r="I7" s="12">
        <f t="shared" si="1"/>
        <v>0</v>
      </c>
      <c r="J7" s="12">
        <f>IF(AND($H7=1,$B7&lt;&gt;"",ISNUMBER($C7)),IF(((('Lucy Levene'!B7=$B7)*ISNUMBER('Lucy Levene'!C7)*(ABS('Lucy Levene'!C7-$C7)&lt;VisitHrs/24)+('Lucy Levene'!D7=$B7)*ISNUMBER('Lucy Levene'!E7)*(ABS('Lucy Levene'!E7-$C7)&lt;VisitHrs/24)+('Lucy Levene'!F7=$B7)*ISNUMBER('Lucy Levene'!G7)*(ABS('Lucy Levene'!G7-$C7)&lt;VisitHrs/24)+('Tom Bock'!B7=$B7)*ISNUMBER('Tom Bock'!C7)*(ABS('Tom Bock'!C7-$C7)&lt;VisitHrs/24)+('Tom Bock'!D7=$B7)*ISNUMBER('Tom Bock'!E7)*(ABS('Tom Bock'!E7-$C7)&lt;VisitHrs/24)+('Tom Bock'!F7=$B7)*ISNUMBER('Tom Bock'!G7)*(ABS('Tom Bock'!G7-$C7)&lt;VisitHrs/24)+(Jeremy!B7=$B7)*ISNUMBER(Jeremy!C7)*(ABS(Jeremy!C7-$C7)&lt;VisitHrs/24)+(Jeremy!D7=$B7)*ISNUMBER(Jeremy!E7)*(ABS(Jeremy!E7-$C7)&lt;VisitHrs/24)+(Jeremy!F7=$B7)*ISNUMBER(Jeremy!G7)*(ABS(Jeremy!G7-$C7)&lt;VisitHrs/24)+('Test Patient'!B7=$B7)*ISNUMBER('Test Patient'!C7)*(ABS('Test Patient'!C7-$C7)&lt;VisitHrs/24)+('Test Patient'!D7=$B7)*ISNUMBER('Test Patient'!E7)*(ABS('Test Patient'!E7-$C7)&lt;VisitHrs/24)+('Test Patient'!F7=$B7)*ISNUMBER('Test Patient'!G7)*(ABS('Test Patient'!G7-$C7)&lt;VisitHrs/24))-1)+('Anita Klesch'!$B7=$B7)*($C7&lt;DayEnd)*($C7+VisitHrs/24&gt;DayStart)+('Anita Klesch'!$C7=$B7)*((($C7+VisitHrs/24&gt;DayEnd)+($C7&lt;DayStart))&gt;0)+('Test Patient 2'!$B7=$B7)*($C7&lt;DayEnd)*($C7+VisitHrs/24&gt;DayStart)+('Test Patient 2'!$C7=$B7)*((($C7+VisitHrs/24&gt;DayEnd)+($C7&lt;DayStart))&gt;0)&gt;=1,1,0),0)</f>
        <v>0</v>
      </c>
      <c r="K7" s="12">
        <f>IF(AND($H7=1,$D7&lt;&gt;"",ISNUMBER($E7)),IF(((('Lucy Levene'!B7=$D7)*ISNUMBER('Lucy Levene'!C7)*(ABS('Lucy Levene'!C7-$E7)&lt;VisitHrs/24)+('Lucy Levene'!D7=$D7)*ISNUMBER('Lucy Levene'!E7)*(ABS('Lucy Levene'!E7-$E7)&lt;VisitHrs/24)+('Lucy Levene'!F7=$D7)*ISNUMBER('Lucy Levene'!G7)*(ABS('Lucy Levene'!G7-$E7)&lt;VisitHrs/24)+('Tom Bock'!B7=$D7)*ISNUMBER('Tom Bock'!C7)*(ABS('Tom Bock'!C7-$E7)&lt;VisitHrs/24)+('Tom Bock'!D7=$D7)*ISNUMBER('Tom Bock'!E7)*(ABS('Tom Bock'!E7-$E7)&lt;VisitHrs/24)+('Tom Bock'!F7=$D7)*ISNUMBER('Tom Bock'!G7)*(ABS('Tom Bock'!G7-$E7)&lt;VisitHrs/24)+(Jeremy!B7=$D7)*ISNUMBER(Jeremy!C7)*(ABS(Jeremy!C7-$E7)&lt;VisitHrs/24)+(Jeremy!D7=$D7)*ISNUMBER(Jeremy!E7)*(ABS(Jeremy!E7-$E7)&lt;VisitHrs/24)+(Jeremy!F7=$D7)*ISNUMBER(Jeremy!G7)*(ABS(Jeremy!G7-$E7)&lt;VisitHrs/24)+('Test Patient'!B7=$D7)*ISNUMBER('Test Patient'!C7)*(ABS('Test Patient'!C7-$E7)&lt;VisitHrs/24)+('Test Patient'!D7=$D7)*ISNUMBER('Test Patient'!E7)*(ABS('Test Patient'!E7-$E7)&lt;VisitHrs/24)+('Test Patient'!F7=$D7)*ISNUMBER('Test Patient'!G7)*(ABS('Test Patient'!G7-$E7)&lt;VisitHrs/24))-1)+('Anita Klesch'!$B7=$D7)*($E7&lt;DayEnd)*($E7+VisitHrs/24&gt;DayStart)+('Anita Klesch'!$C7=$D7)*((($E7+VisitHrs/24&gt;DayEnd)+($E7&lt;DayStart))&gt;0)+('Test Patient 2'!$B7=$D7)*($E7&lt;DayEnd)*($E7+VisitHrs/24&gt;DayStart)+('Test Patient 2'!$C7=$D7)*((($E7+VisitHrs/24&gt;DayEnd)+($E7&lt;DayStart))&gt;0)&gt;=1,1,0),0)</f>
        <v>0</v>
      </c>
      <c r="L7" s="12">
        <f>IF(AND($H7=1,$F7&lt;&gt;"",ISNUMBER($G7)),IF(((('Lucy Levene'!B7=$F7)*ISNUMBER('Lucy Levene'!C7)*(ABS('Lucy Levene'!C7-$G7)&lt;VisitHrs/24)+('Lucy Levene'!D7=$F7)*ISNUMBER('Lucy Levene'!E7)*(ABS('Lucy Levene'!E7-$G7)&lt;VisitHrs/24)+('Lucy Levene'!F7=$F7)*ISNUMBER('Lucy Levene'!G7)*(ABS('Lucy Levene'!G7-$G7)&lt;VisitHrs/24)+('Tom Bock'!B7=$F7)*ISNUMBER('Tom Bock'!C7)*(ABS('Tom Bock'!C7-$G7)&lt;VisitHrs/24)+('Tom Bock'!D7=$F7)*ISNUMBER('Tom Bock'!E7)*(ABS('Tom Bock'!E7-$G7)&lt;VisitHrs/24)+('Tom Bock'!F7=$F7)*ISNUMBER('Tom Bock'!G7)*(ABS('Tom Bock'!G7-$G7)&lt;VisitHrs/24)+(Jeremy!B7=$F7)*ISNUMBER(Jeremy!C7)*(ABS(Jeremy!C7-$G7)&lt;VisitHrs/24)+(Jeremy!D7=$F7)*ISNUMBER(Jeremy!E7)*(ABS(Jeremy!E7-$G7)&lt;VisitHrs/24)+(Jeremy!F7=$F7)*ISNUMBER(Jeremy!G7)*(ABS(Jeremy!G7-$G7)&lt;VisitHrs/24)+('Test Patient'!B7=$F7)*ISNUMBER('Test Patient'!C7)*(ABS('Test Patient'!C7-$G7)&lt;VisitHrs/24)+('Test Patient'!D7=$F7)*ISNUMBER('Test Patient'!E7)*(ABS('Test Patient'!E7-$G7)&lt;VisitHrs/24)+('Test Patient'!F7=$F7)*ISNUMBER('Test Patient'!G7)*(ABS('Test Patient'!G7-$G7)&lt;VisitHrs/24))-1)+('Anita Klesch'!$B7=$F7)*($G7&lt;DayEnd)*($G7+VisitHrs/24&gt;DayStart)+('Anita Klesch'!$C7=$F7)*((($G7+VisitHrs/24&gt;DayEnd)+($G7&lt;DayStart))&gt;0)+('Test Patient 2'!$B7=$F7)*($G7&lt;DayEnd)*($G7+VisitHrs/24&gt;DayStart)+('Test Patient 2'!$C7=$F7)*((($G7+VisitHrs/24&gt;DayEnd)+($G7&lt;DayStart))&gt;0)&gt;=1,1,0),0)</f>
        <v>0</v>
      </c>
      <c r="M7" s="12">
        <f t="shared" si="2"/>
        <v>0</v>
      </c>
      <c r="N7" s="12">
        <f t="shared" si="3"/>
        <v>0</v>
      </c>
      <c r="O7" s="12">
        <f t="shared" si="4"/>
        <v>0</v>
      </c>
    </row>
    <row r="8" spans="1:15" x14ac:dyDescent="0.2">
      <c r="A8" s="2">
        <f t="shared" si="5"/>
        <v>46214</v>
      </c>
      <c r="B8" s="19"/>
      <c r="C8" s="25"/>
      <c r="D8" s="19"/>
      <c r="E8" s="25"/>
      <c r="F8" s="19"/>
      <c r="G8" s="25"/>
      <c r="H8" s="12">
        <f t="shared" si="0"/>
        <v>1</v>
      </c>
      <c r="I8" s="12">
        <f t="shared" si="1"/>
        <v>0</v>
      </c>
      <c r="J8" s="12">
        <f>IF(AND($H8=1,$B8&lt;&gt;"",ISNUMBER($C8)),IF(((('Lucy Levene'!B8=$B8)*ISNUMBER('Lucy Levene'!C8)*(ABS('Lucy Levene'!C8-$C8)&lt;VisitHrs/24)+('Lucy Levene'!D8=$B8)*ISNUMBER('Lucy Levene'!E8)*(ABS('Lucy Levene'!E8-$C8)&lt;VisitHrs/24)+('Lucy Levene'!F8=$B8)*ISNUMBER('Lucy Levene'!G8)*(ABS('Lucy Levene'!G8-$C8)&lt;VisitHrs/24)+('Tom Bock'!B8=$B8)*ISNUMBER('Tom Bock'!C8)*(ABS('Tom Bock'!C8-$C8)&lt;VisitHrs/24)+('Tom Bock'!D8=$B8)*ISNUMBER('Tom Bock'!E8)*(ABS('Tom Bock'!E8-$C8)&lt;VisitHrs/24)+('Tom Bock'!F8=$B8)*ISNUMBER('Tom Bock'!G8)*(ABS('Tom Bock'!G8-$C8)&lt;VisitHrs/24)+(Jeremy!B8=$B8)*ISNUMBER(Jeremy!C8)*(ABS(Jeremy!C8-$C8)&lt;VisitHrs/24)+(Jeremy!D8=$B8)*ISNUMBER(Jeremy!E8)*(ABS(Jeremy!E8-$C8)&lt;VisitHrs/24)+(Jeremy!F8=$B8)*ISNUMBER(Jeremy!G8)*(ABS(Jeremy!G8-$C8)&lt;VisitHrs/24)+('Test Patient'!B8=$B8)*ISNUMBER('Test Patient'!C8)*(ABS('Test Patient'!C8-$C8)&lt;VisitHrs/24)+('Test Patient'!D8=$B8)*ISNUMBER('Test Patient'!E8)*(ABS('Test Patient'!E8-$C8)&lt;VisitHrs/24)+('Test Patient'!F8=$B8)*ISNUMBER('Test Patient'!G8)*(ABS('Test Patient'!G8-$C8)&lt;VisitHrs/24))-1)+('Anita Klesch'!$B8=$B8)*($C8&lt;DayEnd)*($C8+VisitHrs/24&gt;DayStart)+('Anita Klesch'!$C8=$B8)*((($C8+VisitHrs/24&gt;DayEnd)+($C8&lt;DayStart))&gt;0)+('Test Patient 2'!$B8=$B8)*($C8&lt;DayEnd)*($C8+VisitHrs/24&gt;DayStart)+('Test Patient 2'!$C8=$B8)*((($C8+VisitHrs/24&gt;DayEnd)+($C8&lt;DayStart))&gt;0)&gt;=1,1,0),0)</f>
        <v>0</v>
      </c>
      <c r="K8" s="12">
        <f>IF(AND($H8=1,$D8&lt;&gt;"",ISNUMBER($E8)),IF(((('Lucy Levene'!B8=$D8)*ISNUMBER('Lucy Levene'!C8)*(ABS('Lucy Levene'!C8-$E8)&lt;VisitHrs/24)+('Lucy Levene'!D8=$D8)*ISNUMBER('Lucy Levene'!E8)*(ABS('Lucy Levene'!E8-$E8)&lt;VisitHrs/24)+('Lucy Levene'!F8=$D8)*ISNUMBER('Lucy Levene'!G8)*(ABS('Lucy Levene'!G8-$E8)&lt;VisitHrs/24)+('Tom Bock'!B8=$D8)*ISNUMBER('Tom Bock'!C8)*(ABS('Tom Bock'!C8-$E8)&lt;VisitHrs/24)+('Tom Bock'!D8=$D8)*ISNUMBER('Tom Bock'!E8)*(ABS('Tom Bock'!E8-$E8)&lt;VisitHrs/24)+('Tom Bock'!F8=$D8)*ISNUMBER('Tom Bock'!G8)*(ABS('Tom Bock'!G8-$E8)&lt;VisitHrs/24)+(Jeremy!B8=$D8)*ISNUMBER(Jeremy!C8)*(ABS(Jeremy!C8-$E8)&lt;VisitHrs/24)+(Jeremy!D8=$D8)*ISNUMBER(Jeremy!E8)*(ABS(Jeremy!E8-$E8)&lt;VisitHrs/24)+(Jeremy!F8=$D8)*ISNUMBER(Jeremy!G8)*(ABS(Jeremy!G8-$E8)&lt;VisitHrs/24)+('Test Patient'!B8=$D8)*ISNUMBER('Test Patient'!C8)*(ABS('Test Patient'!C8-$E8)&lt;VisitHrs/24)+('Test Patient'!D8=$D8)*ISNUMBER('Test Patient'!E8)*(ABS('Test Patient'!E8-$E8)&lt;VisitHrs/24)+('Test Patient'!F8=$D8)*ISNUMBER('Test Patient'!G8)*(ABS('Test Patient'!G8-$E8)&lt;VisitHrs/24))-1)+('Anita Klesch'!$B8=$D8)*($E8&lt;DayEnd)*($E8+VisitHrs/24&gt;DayStart)+('Anita Klesch'!$C8=$D8)*((($E8+VisitHrs/24&gt;DayEnd)+($E8&lt;DayStart))&gt;0)+('Test Patient 2'!$B8=$D8)*($E8&lt;DayEnd)*($E8+VisitHrs/24&gt;DayStart)+('Test Patient 2'!$C8=$D8)*((($E8+VisitHrs/24&gt;DayEnd)+($E8&lt;DayStart))&gt;0)&gt;=1,1,0),0)</f>
        <v>0</v>
      </c>
      <c r="L8" s="12">
        <f>IF(AND($H8=1,$F8&lt;&gt;"",ISNUMBER($G8)),IF(((('Lucy Levene'!B8=$F8)*ISNUMBER('Lucy Levene'!C8)*(ABS('Lucy Levene'!C8-$G8)&lt;VisitHrs/24)+('Lucy Levene'!D8=$F8)*ISNUMBER('Lucy Levene'!E8)*(ABS('Lucy Levene'!E8-$G8)&lt;VisitHrs/24)+('Lucy Levene'!F8=$F8)*ISNUMBER('Lucy Levene'!G8)*(ABS('Lucy Levene'!G8-$G8)&lt;VisitHrs/24)+('Tom Bock'!B8=$F8)*ISNUMBER('Tom Bock'!C8)*(ABS('Tom Bock'!C8-$G8)&lt;VisitHrs/24)+('Tom Bock'!D8=$F8)*ISNUMBER('Tom Bock'!E8)*(ABS('Tom Bock'!E8-$G8)&lt;VisitHrs/24)+('Tom Bock'!F8=$F8)*ISNUMBER('Tom Bock'!G8)*(ABS('Tom Bock'!G8-$G8)&lt;VisitHrs/24)+(Jeremy!B8=$F8)*ISNUMBER(Jeremy!C8)*(ABS(Jeremy!C8-$G8)&lt;VisitHrs/24)+(Jeremy!D8=$F8)*ISNUMBER(Jeremy!E8)*(ABS(Jeremy!E8-$G8)&lt;VisitHrs/24)+(Jeremy!F8=$F8)*ISNUMBER(Jeremy!G8)*(ABS(Jeremy!G8-$G8)&lt;VisitHrs/24)+('Test Patient'!B8=$F8)*ISNUMBER('Test Patient'!C8)*(ABS('Test Patient'!C8-$G8)&lt;VisitHrs/24)+('Test Patient'!D8=$F8)*ISNUMBER('Test Patient'!E8)*(ABS('Test Patient'!E8-$G8)&lt;VisitHrs/24)+('Test Patient'!F8=$F8)*ISNUMBER('Test Patient'!G8)*(ABS('Test Patient'!G8-$G8)&lt;VisitHrs/24))-1)+('Anita Klesch'!$B8=$F8)*($G8&lt;DayEnd)*($G8+VisitHrs/24&gt;DayStart)+('Anita Klesch'!$C8=$F8)*((($G8+VisitHrs/24&gt;DayEnd)+($G8&lt;DayStart))&gt;0)+('Test Patient 2'!$B8=$F8)*($G8&lt;DayEnd)*($G8+VisitHrs/24&gt;DayStart)+('Test Patient 2'!$C8=$F8)*((($G8+VisitHrs/24&gt;DayEnd)+($G8&lt;DayStart))&gt;0)&gt;=1,1,0),0)</f>
        <v>0</v>
      </c>
      <c r="M8" s="12">
        <f t="shared" si="2"/>
        <v>0</v>
      </c>
      <c r="N8" s="12">
        <f t="shared" si="3"/>
        <v>0</v>
      </c>
      <c r="O8" s="12">
        <f t="shared" si="4"/>
        <v>0</v>
      </c>
    </row>
    <row r="9" spans="1:15" x14ac:dyDescent="0.2">
      <c r="A9" s="2">
        <f t="shared" si="5"/>
        <v>46215</v>
      </c>
      <c r="B9" s="19"/>
      <c r="C9" s="25"/>
      <c r="D9" s="19"/>
      <c r="E9" s="25"/>
      <c r="F9" s="19"/>
      <c r="G9" s="25"/>
      <c r="H9" s="12">
        <f t="shared" si="0"/>
        <v>1</v>
      </c>
      <c r="I9" s="12">
        <f t="shared" si="1"/>
        <v>0</v>
      </c>
      <c r="J9" s="12">
        <f>IF(AND($H9=1,$B9&lt;&gt;"",ISNUMBER($C9)),IF(((('Lucy Levene'!B9=$B9)*ISNUMBER('Lucy Levene'!C9)*(ABS('Lucy Levene'!C9-$C9)&lt;VisitHrs/24)+('Lucy Levene'!D9=$B9)*ISNUMBER('Lucy Levene'!E9)*(ABS('Lucy Levene'!E9-$C9)&lt;VisitHrs/24)+('Lucy Levene'!F9=$B9)*ISNUMBER('Lucy Levene'!G9)*(ABS('Lucy Levene'!G9-$C9)&lt;VisitHrs/24)+('Tom Bock'!B9=$B9)*ISNUMBER('Tom Bock'!C9)*(ABS('Tom Bock'!C9-$C9)&lt;VisitHrs/24)+('Tom Bock'!D9=$B9)*ISNUMBER('Tom Bock'!E9)*(ABS('Tom Bock'!E9-$C9)&lt;VisitHrs/24)+('Tom Bock'!F9=$B9)*ISNUMBER('Tom Bock'!G9)*(ABS('Tom Bock'!G9-$C9)&lt;VisitHrs/24)+(Jeremy!B9=$B9)*ISNUMBER(Jeremy!C9)*(ABS(Jeremy!C9-$C9)&lt;VisitHrs/24)+(Jeremy!D9=$B9)*ISNUMBER(Jeremy!E9)*(ABS(Jeremy!E9-$C9)&lt;VisitHrs/24)+(Jeremy!F9=$B9)*ISNUMBER(Jeremy!G9)*(ABS(Jeremy!G9-$C9)&lt;VisitHrs/24)+('Test Patient'!B9=$B9)*ISNUMBER('Test Patient'!C9)*(ABS('Test Patient'!C9-$C9)&lt;VisitHrs/24)+('Test Patient'!D9=$B9)*ISNUMBER('Test Patient'!E9)*(ABS('Test Patient'!E9-$C9)&lt;VisitHrs/24)+('Test Patient'!F9=$B9)*ISNUMBER('Test Patient'!G9)*(ABS('Test Patient'!G9-$C9)&lt;VisitHrs/24))-1)+('Anita Klesch'!$B9=$B9)*($C9&lt;DayEnd)*($C9+VisitHrs/24&gt;DayStart)+('Anita Klesch'!$C9=$B9)*((($C9+VisitHrs/24&gt;DayEnd)+($C9&lt;DayStart))&gt;0)+('Test Patient 2'!$B9=$B9)*($C9&lt;DayEnd)*($C9+VisitHrs/24&gt;DayStart)+('Test Patient 2'!$C9=$B9)*((($C9+VisitHrs/24&gt;DayEnd)+($C9&lt;DayStart))&gt;0)&gt;=1,1,0),0)</f>
        <v>0</v>
      </c>
      <c r="K9" s="12">
        <f>IF(AND($H9=1,$D9&lt;&gt;"",ISNUMBER($E9)),IF(((('Lucy Levene'!B9=$D9)*ISNUMBER('Lucy Levene'!C9)*(ABS('Lucy Levene'!C9-$E9)&lt;VisitHrs/24)+('Lucy Levene'!D9=$D9)*ISNUMBER('Lucy Levene'!E9)*(ABS('Lucy Levene'!E9-$E9)&lt;VisitHrs/24)+('Lucy Levene'!F9=$D9)*ISNUMBER('Lucy Levene'!G9)*(ABS('Lucy Levene'!G9-$E9)&lt;VisitHrs/24)+('Tom Bock'!B9=$D9)*ISNUMBER('Tom Bock'!C9)*(ABS('Tom Bock'!C9-$E9)&lt;VisitHrs/24)+('Tom Bock'!D9=$D9)*ISNUMBER('Tom Bock'!E9)*(ABS('Tom Bock'!E9-$E9)&lt;VisitHrs/24)+('Tom Bock'!F9=$D9)*ISNUMBER('Tom Bock'!G9)*(ABS('Tom Bock'!G9-$E9)&lt;VisitHrs/24)+(Jeremy!B9=$D9)*ISNUMBER(Jeremy!C9)*(ABS(Jeremy!C9-$E9)&lt;VisitHrs/24)+(Jeremy!D9=$D9)*ISNUMBER(Jeremy!E9)*(ABS(Jeremy!E9-$E9)&lt;VisitHrs/24)+(Jeremy!F9=$D9)*ISNUMBER(Jeremy!G9)*(ABS(Jeremy!G9-$E9)&lt;VisitHrs/24)+('Test Patient'!B9=$D9)*ISNUMBER('Test Patient'!C9)*(ABS('Test Patient'!C9-$E9)&lt;VisitHrs/24)+('Test Patient'!D9=$D9)*ISNUMBER('Test Patient'!E9)*(ABS('Test Patient'!E9-$E9)&lt;VisitHrs/24)+('Test Patient'!F9=$D9)*ISNUMBER('Test Patient'!G9)*(ABS('Test Patient'!G9-$E9)&lt;VisitHrs/24))-1)+('Anita Klesch'!$B9=$D9)*($E9&lt;DayEnd)*($E9+VisitHrs/24&gt;DayStart)+('Anita Klesch'!$C9=$D9)*((($E9+VisitHrs/24&gt;DayEnd)+($E9&lt;DayStart))&gt;0)+('Test Patient 2'!$B9=$D9)*($E9&lt;DayEnd)*($E9+VisitHrs/24&gt;DayStart)+('Test Patient 2'!$C9=$D9)*((($E9+VisitHrs/24&gt;DayEnd)+($E9&lt;DayStart))&gt;0)&gt;=1,1,0),0)</f>
        <v>0</v>
      </c>
      <c r="L9" s="12">
        <f>IF(AND($H9=1,$F9&lt;&gt;"",ISNUMBER($G9)),IF(((('Lucy Levene'!B9=$F9)*ISNUMBER('Lucy Levene'!C9)*(ABS('Lucy Levene'!C9-$G9)&lt;VisitHrs/24)+('Lucy Levene'!D9=$F9)*ISNUMBER('Lucy Levene'!E9)*(ABS('Lucy Levene'!E9-$G9)&lt;VisitHrs/24)+('Lucy Levene'!F9=$F9)*ISNUMBER('Lucy Levene'!G9)*(ABS('Lucy Levene'!G9-$G9)&lt;VisitHrs/24)+('Tom Bock'!B9=$F9)*ISNUMBER('Tom Bock'!C9)*(ABS('Tom Bock'!C9-$G9)&lt;VisitHrs/24)+('Tom Bock'!D9=$F9)*ISNUMBER('Tom Bock'!E9)*(ABS('Tom Bock'!E9-$G9)&lt;VisitHrs/24)+('Tom Bock'!F9=$F9)*ISNUMBER('Tom Bock'!G9)*(ABS('Tom Bock'!G9-$G9)&lt;VisitHrs/24)+(Jeremy!B9=$F9)*ISNUMBER(Jeremy!C9)*(ABS(Jeremy!C9-$G9)&lt;VisitHrs/24)+(Jeremy!D9=$F9)*ISNUMBER(Jeremy!E9)*(ABS(Jeremy!E9-$G9)&lt;VisitHrs/24)+(Jeremy!F9=$F9)*ISNUMBER(Jeremy!G9)*(ABS(Jeremy!G9-$G9)&lt;VisitHrs/24)+('Test Patient'!B9=$F9)*ISNUMBER('Test Patient'!C9)*(ABS('Test Patient'!C9-$G9)&lt;VisitHrs/24)+('Test Patient'!D9=$F9)*ISNUMBER('Test Patient'!E9)*(ABS('Test Patient'!E9-$G9)&lt;VisitHrs/24)+('Test Patient'!F9=$F9)*ISNUMBER('Test Patient'!G9)*(ABS('Test Patient'!G9-$G9)&lt;VisitHrs/24))-1)+('Anita Klesch'!$B9=$F9)*($G9&lt;DayEnd)*($G9+VisitHrs/24&gt;DayStart)+('Anita Klesch'!$C9=$F9)*((($G9+VisitHrs/24&gt;DayEnd)+($G9&lt;DayStart))&gt;0)+('Test Patient 2'!$B9=$F9)*($G9&lt;DayEnd)*($G9+VisitHrs/24&gt;DayStart)+('Test Patient 2'!$C9=$F9)*((($G9+VisitHrs/24&gt;DayEnd)+($G9&lt;DayStart))&gt;0)&gt;=1,1,0),0)</f>
        <v>0</v>
      </c>
      <c r="M9" s="12">
        <f t="shared" si="2"/>
        <v>0</v>
      </c>
      <c r="N9" s="12">
        <f t="shared" si="3"/>
        <v>0</v>
      </c>
      <c r="O9" s="12">
        <f t="shared" si="4"/>
        <v>0</v>
      </c>
    </row>
    <row r="10" spans="1:15" x14ac:dyDescent="0.2">
      <c r="A10" s="2">
        <f t="shared" si="5"/>
        <v>46216</v>
      </c>
      <c r="B10" s="19"/>
      <c r="C10" s="25"/>
      <c r="D10" s="19"/>
      <c r="E10" s="25"/>
      <c r="F10" s="19"/>
      <c r="G10" s="25"/>
      <c r="H10" s="12">
        <f t="shared" si="0"/>
        <v>1</v>
      </c>
      <c r="I10" s="12">
        <f t="shared" si="1"/>
        <v>0</v>
      </c>
      <c r="J10" s="12">
        <f>IF(AND($H10=1,$B10&lt;&gt;"",ISNUMBER($C10)),IF(((('Lucy Levene'!B10=$B10)*ISNUMBER('Lucy Levene'!C10)*(ABS('Lucy Levene'!C10-$C10)&lt;VisitHrs/24)+('Lucy Levene'!D10=$B10)*ISNUMBER('Lucy Levene'!E10)*(ABS('Lucy Levene'!E10-$C10)&lt;VisitHrs/24)+('Lucy Levene'!F10=$B10)*ISNUMBER('Lucy Levene'!G10)*(ABS('Lucy Levene'!G10-$C10)&lt;VisitHrs/24)+('Tom Bock'!B10=$B10)*ISNUMBER('Tom Bock'!C10)*(ABS('Tom Bock'!C10-$C10)&lt;VisitHrs/24)+('Tom Bock'!D10=$B10)*ISNUMBER('Tom Bock'!E10)*(ABS('Tom Bock'!E10-$C10)&lt;VisitHrs/24)+('Tom Bock'!F10=$B10)*ISNUMBER('Tom Bock'!G10)*(ABS('Tom Bock'!G10-$C10)&lt;VisitHrs/24)+(Jeremy!B10=$B10)*ISNUMBER(Jeremy!C10)*(ABS(Jeremy!C10-$C10)&lt;VisitHrs/24)+(Jeremy!D10=$B10)*ISNUMBER(Jeremy!E10)*(ABS(Jeremy!E10-$C10)&lt;VisitHrs/24)+(Jeremy!F10=$B10)*ISNUMBER(Jeremy!G10)*(ABS(Jeremy!G10-$C10)&lt;VisitHrs/24)+('Test Patient'!B10=$B10)*ISNUMBER('Test Patient'!C10)*(ABS('Test Patient'!C10-$C10)&lt;VisitHrs/24)+('Test Patient'!D10=$B10)*ISNUMBER('Test Patient'!E10)*(ABS('Test Patient'!E10-$C10)&lt;VisitHrs/24)+('Test Patient'!F10=$B10)*ISNUMBER('Test Patient'!G10)*(ABS('Test Patient'!G10-$C10)&lt;VisitHrs/24))-1)+('Anita Klesch'!$B10=$B10)*($C10&lt;DayEnd)*($C10+VisitHrs/24&gt;DayStart)+('Anita Klesch'!$C10=$B10)*((($C10+VisitHrs/24&gt;DayEnd)+($C10&lt;DayStart))&gt;0)+('Test Patient 2'!$B10=$B10)*($C10&lt;DayEnd)*($C10+VisitHrs/24&gt;DayStart)+('Test Patient 2'!$C10=$B10)*((($C10+VisitHrs/24&gt;DayEnd)+($C10&lt;DayStart))&gt;0)&gt;=1,1,0),0)</f>
        <v>0</v>
      </c>
      <c r="K10" s="12">
        <f>IF(AND($H10=1,$D10&lt;&gt;"",ISNUMBER($E10)),IF(((('Lucy Levene'!B10=$D10)*ISNUMBER('Lucy Levene'!C10)*(ABS('Lucy Levene'!C10-$E10)&lt;VisitHrs/24)+('Lucy Levene'!D10=$D10)*ISNUMBER('Lucy Levene'!E10)*(ABS('Lucy Levene'!E10-$E10)&lt;VisitHrs/24)+('Lucy Levene'!F10=$D10)*ISNUMBER('Lucy Levene'!G10)*(ABS('Lucy Levene'!G10-$E10)&lt;VisitHrs/24)+('Tom Bock'!B10=$D10)*ISNUMBER('Tom Bock'!C10)*(ABS('Tom Bock'!C10-$E10)&lt;VisitHrs/24)+('Tom Bock'!D10=$D10)*ISNUMBER('Tom Bock'!E10)*(ABS('Tom Bock'!E10-$E10)&lt;VisitHrs/24)+('Tom Bock'!F10=$D10)*ISNUMBER('Tom Bock'!G10)*(ABS('Tom Bock'!G10-$E10)&lt;VisitHrs/24)+(Jeremy!B10=$D10)*ISNUMBER(Jeremy!C10)*(ABS(Jeremy!C10-$E10)&lt;VisitHrs/24)+(Jeremy!D10=$D10)*ISNUMBER(Jeremy!E10)*(ABS(Jeremy!E10-$E10)&lt;VisitHrs/24)+(Jeremy!F10=$D10)*ISNUMBER(Jeremy!G10)*(ABS(Jeremy!G10-$E10)&lt;VisitHrs/24)+('Test Patient'!B10=$D10)*ISNUMBER('Test Patient'!C10)*(ABS('Test Patient'!C10-$E10)&lt;VisitHrs/24)+('Test Patient'!D10=$D10)*ISNUMBER('Test Patient'!E10)*(ABS('Test Patient'!E10-$E10)&lt;VisitHrs/24)+('Test Patient'!F10=$D10)*ISNUMBER('Test Patient'!G10)*(ABS('Test Patient'!G10-$E10)&lt;VisitHrs/24))-1)+('Anita Klesch'!$B10=$D10)*($E10&lt;DayEnd)*($E10+VisitHrs/24&gt;DayStart)+('Anita Klesch'!$C10=$D10)*((($E10+VisitHrs/24&gt;DayEnd)+($E10&lt;DayStart))&gt;0)+('Test Patient 2'!$B10=$D10)*($E10&lt;DayEnd)*($E10+VisitHrs/24&gt;DayStart)+('Test Patient 2'!$C10=$D10)*((($E10+VisitHrs/24&gt;DayEnd)+($E10&lt;DayStart))&gt;0)&gt;=1,1,0),0)</f>
        <v>0</v>
      </c>
      <c r="L10" s="12">
        <f>IF(AND($H10=1,$F10&lt;&gt;"",ISNUMBER($G10)),IF(((('Lucy Levene'!B10=$F10)*ISNUMBER('Lucy Levene'!C10)*(ABS('Lucy Levene'!C10-$G10)&lt;VisitHrs/24)+('Lucy Levene'!D10=$F10)*ISNUMBER('Lucy Levene'!E10)*(ABS('Lucy Levene'!E10-$G10)&lt;VisitHrs/24)+('Lucy Levene'!F10=$F10)*ISNUMBER('Lucy Levene'!G10)*(ABS('Lucy Levene'!G10-$G10)&lt;VisitHrs/24)+('Tom Bock'!B10=$F10)*ISNUMBER('Tom Bock'!C10)*(ABS('Tom Bock'!C10-$G10)&lt;VisitHrs/24)+('Tom Bock'!D10=$F10)*ISNUMBER('Tom Bock'!E10)*(ABS('Tom Bock'!E10-$G10)&lt;VisitHrs/24)+('Tom Bock'!F10=$F10)*ISNUMBER('Tom Bock'!G10)*(ABS('Tom Bock'!G10-$G10)&lt;VisitHrs/24)+(Jeremy!B10=$F10)*ISNUMBER(Jeremy!C10)*(ABS(Jeremy!C10-$G10)&lt;VisitHrs/24)+(Jeremy!D10=$F10)*ISNUMBER(Jeremy!E10)*(ABS(Jeremy!E10-$G10)&lt;VisitHrs/24)+(Jeremy!F10=$F10)*ISNUMBER(Jeremy!G10)*(ABS(Jeremy!G10-$G10)&lt;VisitHrs/24)+('Test Patient'!B10=$F10)*ISNUMBER('Test Patient'!C10)*(ABS('Test Patient'!C10-$G10)&lt;VisitHrs/24)+('Test Patient'!D10=$F10)*ISNUMBER('Test Patient'!E10)*(ABS('Test Patient'!E10-$G10)&lt;VisitHrs/24)+('Test Patient'!F10=$F10)*ISNUMBER('Test Patient'!G10)*(ABS('Test Patient'!G10-$G10)&lt;VisitHrs/24))-1)+('Anita Klesch'!$B10=$F10)*($G10&lt;DayEnd)*($G10+VisitHrs/24&gt;DayStart)+('Anita Klesch'!$C10=$F10)*((($G10+VisitHrs/24&gt;DayEnd)+($G10&lt;DayStart))&gt;0)+('Test Patient 2'!$B10=$F10)*($G10&lt;DayEnd)*($G10+VisitHrs/24&gt;DayStart)+('Test Patient 2'!$C10=$F10)*((($G10+VisitHrs/24&gt;DayEnd)+($G10&lt;DayStart))&gt;0)&gt;=1,1,0),0)</f>
        <v>0</v>
      </c>
      <c r="M10" s="12">
        <f t="shared" si="2"/>
        <v>0</v>
      </c>
      <c r="N10" s="12">
        <f t="shared" si="3"/>
        <v>0</v>
      </c>
      <c r="O10" s="12">
        <f t="shared" si="4"/>
        <v>0</v>
      </c>
    </row>
    <row r="11" spans="1:15" x14ac:dyDescent="0.2">
      <c r="A11" s="2">
        <f t="shared" si="5"/>
        <v>46217</v>
      </c>
      <c r="B11" s="19"/>
      <c r="C11" s="25"/>
      <c r="D11" s="19"/>
      <c r="E11" s="25"/>
      <c r="F11" s="19"/>
      <c r="G11" s="25"/>
      <c r="H11" s="12">
        <f t="shared" si="0"/>
        <v>1</v>
      </c>
      <c r="I11" s="12">
        <f t="shared" si="1"/>
        <v>0</v>
      </c>
      <c r="J11" s="12">
        <f>IF(AND($H11=1,$B11&lt;&gt;"",ISNUMBER($C11)),IF(((('Lucy Levene'!B11=$B11)*ISNUMBER('Lucy Levene'!C11)*(ABS('Lucy Levene'!C11-$C11)&lt;VisitHrs/24)+('Lucy Levene'!D11=$B11)*ISNUMBER('Lucy Levene'!E11)*(ABS('Lucy Levene'!E11-$C11)&lt;VisitHrs/24)+('Lucy Levene'!F11=$B11)*ISNUMBER('Lucy Levene'!G11)*(ABS('Lucy Levene'!G11-$C11)&lt;VisitHrs/24)+('Tom Bock'!B11=$B11)*ISNUMBER('Tom Bock'!C11)*(ABS('Tom Bock'!C11-$C11)&lt;VisitHrs/24)+('Tom Bock'!D11=$B11)*ISNUMBER('Tom Bock'!E11)*(ABS('Tom Bock'!E11-$C11)&lt;VisitHrs/24)+('Tom Bock'!F11=$B11)*ISNUMBER('Tom Bock'!G11)*(ABS('Tom Bock'!G11-$C11)&lt;VisitHrs/24)+(Jeremy!B11=$B11)*ISNUMBER(Jeremy!C11)*(ABS(Jeremy!C11-$C11)&lt;VisitHrs/24)+(Jeremy!D11=$B11)*ISNUMBER(Jeremy!E11)*(ABS(Jeremy!E11-$C11)&lt;VisitHrs/24)+(Jeremy!F11=$B11)*ISNUMBER(Jeremy!G11)*(ABS(Jeremy!G11-$C11)&lt;VisitHrs/24)+('Test Patient'!B11=$B11)*ISNUMBER('Test Patient'!C11)*(ABS('Test Patient'!C11-$C11)&lt;VisitHrs/24)+('Test Patient'!D11=$B11)*ISNUMBER('Test Patient'!E11)*(ABS('Test Patient'!E11-$C11)&lt;VisitHrs/24)+('Test Patient'!F11=$B11)*ISNUMBER('Test Patient'!G11)*(ABS('Test Patient'!G11-$C11)&lt;VisitHrs/24))-1)+('Anita Klesch'!$B11=$B11)*($C11&lt;DayEnd)*($C11+VisitHrs/24&gt;DayStart)+('Anita Klesch'!$C11=$B11)*((($C11+VisitHrs/24&gt;DayEnd)+($C11&lt;DayStart))&gt;0)+('Test Patient 2'!$B11=$B11)*($C11&lt;DayEnd)*($C11+VisitHrs/24&gt;DayStart)+('Test Patient 2'!$C11=$B11)*((($C11+VisitHrs/24&gt;DayEnd)+($C11&lt;DayStart))&gt;0)&gt;=1,1,0),0)</f>
        <v>0</v>
      </c>
      <c r="K11" s="12">
        <f>IF(AND($H11=1,$D11&lt;&gt;"",ISNUMBER($E11)),IF(((('Lucy Levene'!B11=$D11)*ISNUMBER('Lucy Levene'!C11)*(ABS('Lucy Levene'!C11-$E11)&lt;VisitHrs/24)+('Lucy Levene'!D11=$D11)*ISNUMBER('Lucy Levene'!E11)*(ABS('Lucy Levene'!E11-$E11)&lt;VisitHrs/24)+('Lucy Levene'!F11=$D11)*ISNUMBER('Lucy Levene'!G11)*(ABS('Lucy Levene'!G11-$E11)&lt;VisitHrs/24)+('Tom Bock'!B11=$D11)*ISNUMBER('Tom Bock'!C11)*(ABS('Tom Bock'!C11-$E11)&lt;VisitHrs/24)+('Tom Bock'!D11=$D11)*ISNUMBER('Tom Bock'!E11)*(ABS('Tom Bock'!E11-$E11)&lt;VisitHrs/24)+('Tom Bock'!F11=$D11)*ISNUMBER('Tom Bock'!G11)*(ABS('Tom Bock'!G11-$E11)&lt;VisitHrs/24)+(Jeremy!B11=$D11)*ISNUMBER(Jeremy!C11)*(ABS(Jeremy!C11-$E11)&lt;VisitHrs/24)+(Jeremy!D11=$D11)*ISNUMBER(Jeremy!E11)*(ABS(Jeremy!E11-$E11)&lt;VisitHrs/24)+(Jeremy!F11=$D11)*ISNUMBER(Jeremy!G11)*(ABS(Jeremy!G11-$E11)&lt;VisitHrs/24)+('Test Patient'!B11=$D11)*ISNUMBER('Test Patient'!C11)*(ABS('Test Patient'!C11-$E11)&lt;VisitHrs/24)+('Test Patient'!D11=$D11)*ISNUMBER('Test Patient'!E11)*(ABS('Test Patient'!E11-$E11)&lt;VisitHrs/24)+('Test Patient'!F11=$D11)*ISNUMBER('Test Patient'!G11)*(ABS('Test Patient'!G11-$E11)&lt;VisitHrs/24))-1)+('Anita Klesch'!$B11=$D11)*($E11&lt;DayEnd)*($E11+VisitHrs/24&gt;DayStart)+('Anita Klesch'!$C11=$D11)*((($E11+VisitHrs/24&gt;DayEnd)+($E11&lt;DayStart))&gt;0)+('Test Patient 2'!$B11=$D11)*($E11&lt;DayEnd)*($E11+VisitHrs/24&gt;DayStart)+('Test Patient 2'!$C11=$D11)*((($E11+VisitHrs/24&gt;DayEnd)+($E11&lt;DayStart))&gt;0)&gt;=1,1,0),0)</f>
        <v>0</v>
      </c>
      <c r="L11" s="12">
        <f>IF(AND($H11=1,$F11&lt;&gt;"",ISNUMBER($G11)),IF(((('Lucy Levene'!B11=$F11)*ISNUMBER('Lucy Levene'!C11)*(ABS('Lucy Levene'!C11-$G11)&lt;VisitHrs/24)+('Lucy Levene'!D11=$F11)*ISNUMBER('Lucy Levene'!E11)*(ABS('Lucy Levene'!E11-$G11)&lt;VisitHrs/24)+('Lucy Levene'!F11=$F11)*ISNUMBER('Lucy Levene'!G11)*(ABS('Lucy Levene'!G11-$G11)&lt;VisitHrs/24)+('Tom Bock'!B11=$F11)*ISNUMBER('Tom Bock'!C11)*(ABS('Tom Bock'!C11-$G11)&lt;VisitHrs/24)+('Tom Bock'!D11=$F11)*ISNUMBER('Tom Bock'!E11)*(ABS('Tom Bock'!E11-$G11)&lt;VisitHrs/24)+('Tom Bock'!F11=$F11)*ISNUMBER('Tom Bock'!G11)*(ABS('Tom Bock'!G11-$G11)&lt;VisitHrs/24)+(Jeremy!B11=$F11)*ISNUMBER(Jeremy!C11)*(ABS(Jeremy!C11-$G11)&lt;VisitHrs/24)+(Jeremy!D11=$F11)*ISNUMBER(Jeremy!E11)*(ABS(Jeremy!E11-$G11)&lt;VisitHrs/24)+(Jeremy!F11=$F11)*ISNUMBER(Jeremy!G11)*(ABS(Jeremy!G11-$G11)&lt;VisitHrs/24)+('Test Patient'!B11=$F11)*ISNUMBER('Test Patient'!C11)*(ABS('Test Patient'!C11-$G11)&lt;VisitHrs/24)+('Test Patient'!D11=$F11)*ISNUMBER('Test Patient'!E11)*(ABS('Test Patient'!E11-$G11)&lt;VisitHrs/24)+('Test Patient'!F11=$F11)*ISNUMBER('Test Patient'!G11)*(ABS('Test Patient'!G11-$G11)&lt;VisitHrs/24))-1)+('Anita Klesch'!$B11=$F11)*($G11&lt;DayEnd)*($G11+VisitHrs/24&gt;DayStart)+('Anita Klesch'!$C11=$F11)*((($G11+VisitHrs/24&gt;DayEnd)+($G11&lt;DayStart))&gt;0)+('Test Patient 2'!$B11=$F11)*($G11&lt;DayEnd)*($G11+VisitHrs/24&gt;DayStart)+('Test Patient 2'!$C11=$F11)*((($G11+VisitHrs/24&gt;DayEnd)+($G11&lt;DayStart))&gt;0)&gt;=1,1,0),0)</f>
        <v>0</v>
      </c>
      <c r="M11" s="12">
        <f t="shared" si="2"/>
        <v>0</v>
      </c>
      <c r="N11" s="12">
        <f t="shared" si="3"/>
        <v>0</v>
      </c>
      <c r="O11" s="12">
        <f t="shared" si="4"/>
        <v>0</v>
      </c>
    </row>
    <row r="12" spans="1:15" x14ac:dyDescent="0.2">
      <c r="A12" s="2">
        <f t="shared" si="5"/>
        <v>46218</v>
      </c>
      <c r="B12" s="19"/>
      <c r="C12" s="25"/>
      <c r="D12" s="19"/>
      <c r="E12" s="25"/>
      <c r="F12" s="19"/>
      <c r="G12" s="25"/>
      <c r="H12" s="12">
        <f t="shared" si="0"/>
        <v>1</v>
      </c>
      <c r="I12" s="12">
        <f t="shared" si="1"/>
        <v>0</v>
      </c>
      <c r="J12" s="12">
        <f>IF(AND($H12=1,$B12&lt;&gt;"",ISNUMBER($C12)),IF(((('Lucy Levene'!B12=$B12)*ISNUMBER('Lucy Levene'!C12)*(ABS('Lucy Levene'!C12-$C12)&lt;VisitHrs/24)+('Lucy Levene'!D12=$B12)*ISNUMBER('Lucy Levene'!E12)*(ABS('Lucy Levene'!E12-$C12)&lt;VisitHrs/24)+('Lucy Levene'!F12=$B12)*ISNUMBER('Lucy Levene'!G12)*(ABS('Lucy Levene'!G12-$C12)&lt;VisitHrs/24)+('Tom Bock'!B12=$B12)*ISNUMBER('Tom Bock'!C12)*(ABS('Tom Bock'!C12-$C12)&lt;VisitHrs/24)+('Tom Bock'!D12=$B12)*ISNUMBER('Tom Bock'!E12)*(ABS('Tom Bock'!E12-$C12)&lt;VisitHrs/24)+('Tom Bock'!F12=$B12)*ISNUMBER('Tom Bock'!G12)*(ABS('Tom Bock'!G12-$C12)&lt;VisitHrs/24)+(Jeremy!B12=$B12)*ISNUMBER(Jeremy!C12)*(ABS(Jeremy!C12-$C12)&lt;VisitHrs/24)+(Jeremy!D12=$B12)*ISNUMBER(Jeremy!E12)*(ABS(Jeremy!E12-$C12)&lt;VisitHrs/24)+(Jeremy!F12=$B12)*ISNUMBER(Jeremy!G12)*(ABS(Jeremy!G12-$C12)&lt;VisitHrs/24)+('Test Patient'!B12=$B12)*ISNUMBER('Test Patient'!C12)*(ABS('Test Patient'!C12-$C12)&lt;VisitHrs/24)+('Test Patient'!D12=$B12)*ISNUMBER('Test Patient'!E12)*(ABS('Test Patient'!E12-$C12)&lt;VisitHrs/24)+('Test Patient'!F12=$B12)*ISNUMBER('Test Patient'!G12)*(ABS('Test Patient'!G12-$C12)&lt;VisitHrs/24))-1)+('Anita Klesch'!$B12=$B12)*($C12&lt;DayEnd)*($C12+VisitHrs/24&gt;DayStart)+('Anita Klesch'!$C12=$B12)*((($C12+VisitHrs/24&gt;DayEnd)+($C12&lt;DayStart))&gt;0)+('Test Patient 2'!$B12=$B12)*($C12&lt;DayEnd)*($C12+VisitHrs/24&gt;DayStart)+('Test Patient 2'!$C12=$B12)*((($C12+VisitHrs/24&gt;DayEnd)+($C12&lt;DayStart))&gt;0)&gt;=1,1,0),0)</f>
        <v>0</v>
      </c>
      <c r="K12" s="12">
        <f>IF(AND($H12=1,$D12&lt;&gt;"",ISNUMBER($E12)),IF(((('Lucy Levene'!B12=$D12)*ISNUMBER('Lucy Levene'!C12)*(ABS('Lucy Levene'!C12-$E12)&lt;VisitHrs/24)+('Lucy Levene'!D12=$D12)*ISNUMBER('Lucy Levene'!E12)*(ABS('Lucy Levene'!E12-$E12)&lt;VisitHrs/24)+('Lucy Levene'!F12=$D12)*ISNUMBER('Lucy Levene'!G12)*(ABS('Lucy Levene'!G12-$E12)&lt;VisitHrs/24)+('Tom Bock'!B12=$D12)*ISNUMBER('Tom Bock'!C12)*(ABS('Tom Bock'!C12-$E12)&lt;VisitHrs/24)+('Tom Bock'!D12=$D12)*ISNUMBER('Tom Bock'!E12)*(ABS('Tom Bock'!E12-$E12)&lt;VisitHrs/24)+('Tom Bock'!F12=$D12)*ISNUMBER('Tom Bock'!G12)*(ABS('Tom Bock'!G12-$E12)&lt;VisitHrs/24)+(Jeremy!B12=$D12)*ISNUMBER(Jeremy!C12)*(ABS(Jeremy!C12-$E12)&lt;VisitHrs/24)+(Jeremy!D12=$D12)*ISNUMBER(Jeremy!E12)*(ABS(Jeremy!E12-$E12)&lt;VisitHrs/24)+(Jeremy!F12=$D12)*ISNUMBER(Jeremy!G12)*(ABS(Jeremy!G12-$E12)&lt;VisitHrs/24)+('Test Patient'!B12=$D12)*ISNUMBER('Test Patient'!C12)*(ABS('Test Patient'!C12-$E12)&lt;VisitHrs/24)+('Test Patient'!D12=$D12)*ISNUMBER('Test Patient'!E12)*(ABS('Test Patient'!E12-$E12)&lt;VisitHrs/24)+('Test Patient'!F12=$D12)*ISNUMBER('Test Patient'!G12)*(ABS('Test Patient'!G12-$E12)&lt;VisitHrs/24))-1)+('Anita Klesch'!$B12=$D12)*($E12&lt;DayEnd)*($E12+VisitHrs/24&gt;DayStart)+('Anita Klesch'!$C12=$D12)*((($E12+VisitHrs/24&gt;DayEnd)+($E12&lt;DayStart))&gt;0)+('Test Patient 2'!$B12=$D12)*($E12&lt;DayEnd)*($E12+VisitHrs/24&gt;DayStart)+('Test Patient 2'!$C12=$D12)*((($E12+VisitHrs/24&gt;DayEnd)+($E12&lt;DayStart))&gt;0)&gt;=1,1,0),0)</f>
        <v>0</v>
      </c>
      <c r="L12" s="12">
        <f>IF(AND($H12=1,$F12&lt;&gt;"",ISNUMBER($G12)),IF(((('Lucy Levene'!B12=$F12)*ISNUMBER('Lucy Levene'!C12)*(ABS('Lucy Levene'!C12-$G12)&lt;VisitHrs/24)+('Lucy Levene'!D12=$F12)*ISNUMBER('Lucy Levene'!E12)*(ABS('Lucy Levene'!E12-$G12)&lt;VisitHrs/24)+('Lucy Levene'!F12=$F12)*ISNUMBER('Lucy Levene'!G12)*(ABS('Lucy Levene'!G12-$G12)&lt;VisitHrs/24)+('Tom Bock'!B12=$F12)*ISNUMBER('Tom Bock'!C12)*(ABS('Tom Bock'!C12-$G12)&lt;VisitHrs/24)+('Tom Bock'!D12=$F12)*ISNUMBER('Tom Bock'!E12)*(ABS('Tom Bock'!E12-$G12)&lt;VisitHrs/24)+('Tom Bock'!F12=$F12)*ISNUMBER('Tom Bock'!G12)*(ABS('Tom Bock'!G12-$G12)&lt;VisitHrs/24)+(Jeremy!B12=$F12)*ISNUMBER(Jeremy!C12)*(ABS(Jeremy!C12-$G12)&lt;VisitHrs/24)+(Jeremy!D12=$F12)*ISNUMBER(Jeremy!E12)*(ABS(Jeremy!E12-$G12)&lt;VisitHrs/24)+(Jeremy!F12=$F12)*ISNUMBER(Jeremy!G12)*(ABS(Jeremy!G12-$G12)&lt;VisitHrs/24)+('Test Patient'!B12=$F12)*ISNUMBER('Test Patient'!C12)*(ABS('Test Patient'!C12-$G12)&lt;VisitHrs/24)+('Test Patient'!D12=$F12)*ISNUMBER('Test Patient'!E12)*(ABS('Test Patient'!E12-$G12)&lt;VisitHrs/24)+('Test Patient'!F12=$F12)*ISNUMBER('Test Patient'!G12)*(ABS('Test Patient'!G12-$G12)&lt;VisitHrs/24))-1)+('Anita Klesch'!$B12=$F12)*($G12&lt;DayEnd)*($G12+VisitHrs/24&gt;DayStart)+('Anita Klesch'!$C12=$F12)*((($G12+VisitHrs/24&gt;DayEnd)+($G12&lt;DayStart))&gt;0)+('Test Patient 2'!$B12=$F12)*($G12&lt;DayEnd)*($G12+VisitHrs/24&gt;DayStart)+('Test Patient 2'!$C12=$F12)*((($G12+VisitHrs/24&gt;DayEnd)+($G12&lt;DayStart))&gt;0)&gt;=1,1,0),0)</f>
        <v>0</v>
      </c>
      <c r="M12" s="12">
        <f t="shared" si="2"/>
        <v>0</v>
      </c>
      <c r="N12" s="12">
        <f t="shared" si="3"/>
        <v>0</v>
      </c>
      <c r="O12" s="12">
        <f t="shared" si="4"/>
        <v>0</v>
      </c>
    </row>
    <row r="13" spans="1:15" x14ac:dyDescent="0.2">
      <c r="A13" s="2">
        <f t="shared" si="5"/>
        <v>46219</v>
      </c>
      <c r="B13" s="19"/>
      <c r="C13" s="25"/>
      <c r="D13" s="19"/>
      <c r="E13" s="25"/>
      <c r="F13" s="19"/>
      <c r="G13" s="25"/>
      <c r="H13" s="12">
        <f t="shared" si="0"/>
        <v>1</v>
      </c>
      <c r="I13" s="12">
        <f t="shared" si="1"/>
        <v>0</v>
      </c>
      <c r="J13" s="12">
        <f>IF(AND($H13=1,$B13&lt;&gt;"",ISNUMBER($C13)),IF(((('Lucy Levene'!B13=$B13)*ISNUMBER('Lucy Levene'!C13)*(ABS('Lucy Levene'!C13-$C13)&lt;VisitHrs/24)+('Lucy Levene'!D13=$B13)*ISNUMBER('Lucy Levene'!E13)*(ABS('Lucy Levene'!E13-$C13)&lt;VisitHrs/24)+('Lucy Levene'!F13=$B13)*ISNUMBER('Lucy Levene'!G13)*(ABS('Lucy Levene'!G13-$C13)&lt;VisitHrs/24)+('Tom Bock'!B13=$B13)*ISNUMBER('Tom Bock'!C13)*(ABS('Tom Bock'!C13-$C13)&lt;VisitHrs/24)+('Tom Bock'!D13=$B13)*ISNUMBER('Tom Bock'!E13)*(ABS('Tom Bock'!E13-$C13)&lt;VisitHrs/24)+('Tom Bock'!F13=$B13)*ISNUMBER('Tom Bock'!G13)*(ABS('Tom Bock'!G13-$C13)&lt;VisitHrs/24)+(Jeremy!B13=$B13)*ISNUMBER(Jeremy!C13)*(ABS(Jeremy!C13-$C13)&lt;VisitHrs/24)+(Jeremy!D13=$B13)*ISNUMBER(Jeremy!E13)*(ABS(Jeremy!E13-$C13)&lt;VisitHrs/24)+(Jeremy!F13=$B13)*ISNUMBER(Jeremy!G13)*(ABS(Jeremy!G13-$C13)&lt;VisitHrs/24)+('Test Patient'!B13=$B13)*ISNUMBER('Test Patient'!C13)*(ABS('Test Patient'!C13-$C13)&lt;VisitHrs/24)+('Test Patient'!D13=$B13)*ISNUMBER('Test Patient'!E13)*(ABS('Test Patient'!E13-$C13)&lt;VisitHrs/24)+('Test Patient'!F13=$B13)*ISNUMBER('Test Patient'!G13)*(ABS('Test Patient'!G13-$C13)&lt;VisitHrs/24))-1)+('Anita Klesch'!$B13=$B13)*($C13&lt;DayEnd)*($C13+VisitHrs/24&gt;DayStart)+('Anita Klesch'!$C13=$B13)*((($C13+VisitHrs/24&gt;DayEnd)+($C13&lt;DayStart))&gt;0)+('Test Patient 2'!$B13=$B13)*($C13&lt;DayEnd)*($C13+VisitHrs/24&gt;DayStart)+('Test Patient 2'!$C13=$B13)*((($C13+VisitHrs/24&gt;DayEnd)+($C13&lt;DayStart))&gt;0)&gt;=1,1,0),0)</f>
        <v>0</v>
      </c>
      <c r="K13" s="12">
        <f>IF(AND($H13=1,$D13&lt;&gt;"",ISNUMBER($E13)),IF(((('Lucy Levene'!B13=$D13)*ISNUMBER('Lucy Levene'!C13)*(ABS('Lucy Levene'!C13-$E13)&lt;VisitHrs/24)+('Lucy Levene'!D13=$D13)*ISNUMBER('Lucy Levene'!E13)*(ABS('Lucy Levene'!E13-$E13)&lt;VisitHrs/24)+('Lucy Levene'!F13=$D13)*ISNUMBER('Lucy Levene'!G13)*(ABS('Lucy Levene'!G13-$E13)&lt;VisitHrs/24)+('Tom Bock'!B13=$D13)*ISNUMBER('Tom Bock'!C13)*(ABS('Tom Bock'!C13-$E13)&lt;VisitHrs/24)+('Tom Bock'!D13=$D13)*ISNUMBER('Tom Bock'!E13)*(ABS('Tom Bock'!E13-$E13)&lt;VisitHrs/24)+('Tom Bock'!F13=$D13)*ISNUMBER('Tom Bock'!G13)*(ABS('Tom Bock'!G13-$E13)&lt;VisitHrs/24)+(Jeremy!B13=$D13)*ISNUMBER(Jeremy!C13)*(ABS(Jeremy!C13-$E13)&lt;VisitHrs/24)+(Jeremy!D13=$D13)*ISNUMBER(Jeremy!E13)*(ABS(Jeremy!E13-$E13)&lt;VisitHrs/24)+(Jeremy!F13=$D13)*ISNUMBER(Jeremy!G13)*(ABS(Jeremy!G13-$E13)&lt;VisitHrs/24)+('Test Patient'!B13=$D13)*ISNUMBER('Test Patient'!C13)*(ABS('Test Patient'!C13-$E13)&lt;VisitHrs/24)+('Test Patient'!D13=$D13)*ISNUMBER('Test Patient'!E13)*(ABS('Test Patient'!E13-$E13)&lt;VisitHrs/24)+('Test Patient'!F13=$D13)*ISNUMBER('Test Patient'!G13)*(ABS('Test Patient'!G13-$E13)&lt;VisitHrs/24))-1)+('Anita Klesch'!$B13=$D13)*($E13&lt;DayEnd)*($E13+VisitHrs/24&gt;DayStart)+('Anita Klesch'!$C13=$D13)*((($E13+VisitHrs/24&gt;DayEnd)+($E13&lt;DayStart))&gt;0)+('Test Patient 2'!$B13=$D13)*($E13&lt;DayEnd)*($E13+VisitHrs/24&gt;DayStart)+('Test Patient 2'!$C13=$D13)*((($E13+VisitHrs/24&gt;DayEnd)+($E13&lt;DayStart))&gt;0)&gt;=1,1,0),0)</f>
        <v>0</v>
      </c>
      <c r="L13" s="12">
        <f>IF(AND($H13=1,$F13&lt;&gt;"",ISNUMBER($G13)),IF(((('Lucy Levene'!B13=$F13)*ISNUMBER('Lucy Levene'!C13)*(ABS('Lucy Levene'!C13-$G13)&lt;VisitHrs/24)+('Lucy Levene'!D13=$F13)*ISNUMBER('Lucy Levene'!E13)*(ABS('Lucy Levene'!E13-$G13)&lt;VisitHrs/24)+('Lucy Levene'!F13=$F13)*ISNUMBER('Lucy Levene'!G13)*(ABS('Lucy Levene'!G13-$G13)&lt;VisitHrs/24)+('Tom Bock'!B13=$F13)*ISNUMBER('Tom Bock'!C13)*(ABS('Tom Bock'!C13-$G13)&lt;VisitHrs/24)+('Tom Bock'!D13=$F13)*ISNUMBER('Tom Bock'!E13)*(ABS('Tom Bock'!E13-$G13)&lt;VisitHrs/24)+('Tom Bock'!F13=$F13)*ISNUMBER('Tom Bock'!G13)*(ABS('Tom Bock'!G13-$G13)&lt;VisitHrs/24)+(Jeremy!B13=$F13)*ISNUMBER(Jeremy!C13)*(ABS(Jeremy!C13-$G13)&lt;VisitHrs/24)+(Jeremy!D13=$F13)*ISNUMBER(Jeremy!E13)*(ABS(Jeremy!E13-$G13)&lt;VisitHrs/24)+(Jeremy!F13=$F13)*ISNUMBER(Jeremy!G13)*(ABS(Jeremy!G13-$G13)&lt;VisitHrs/24)+('Test Patient'!B13=$F13)*ISNUMBER('Test Patient'!C13)*(ABS('Test Patient'!C13-$G13)&lt;VisitHrs/24)+('Test Patient'!D13=$F13)*ISNUMBER('Test Patient'!E13)*(ABS('Test Patient'!E13-$G13)&lt;VisitHrs/24)+('Test Patient'!F13=$F13)*ISNUMBER('Test Patient'!G13)*(ABS('Test Patient'!G13-$G13)&lt;VisitHrs/24))-1)+('Anita Klesch'!$B13=$F13)*($G13&lt;DayEnd)*($G13+VisitHrs/24&gt;DayStart)+('Anita Klesch'!$C13=$F13)*((($G13+VisitHrs/24&gt;DayEnd)+($G13&lt;DayStart))&gt;0)+('Test Patient 2'!$B13=$F13)*($G13&lt;DayEnd)*($G13+VisitHrs/24&gt;DayStart)+('Test Patient 2'!$C13=$F13)*((($G13+VisitHrs/24&gt;DayEnd)+($G13&lt;DayStart))&gt;0)&gt;=1,1,0),0)</f>
        <v>0</v>
      </c>
      <c r="M13" s="12">
        <f t="shared" si="2"/>
        <v>0</v>
      </c>
      <c r="N13" s="12">
        <f t="shared" si="3"/>
        <v>0</v>
      </c>
      <c r="O13" s="12">
        <f t="shared" si="4"/>
        <v>0</v>
      </c>
    </row>
    <row r="14" spans="1:15" x14ac:dyDescent="0.2">
      <c r="A14" s="2">
        <f t="shared" si="5"/>
        <v>46220</v>
      </c>
      <c r="B14" s="19"/>
      <c r="C14" s="25"/>
      <c r="D14" s="19"/>
      <c r="E14" s="25"/>
      <c r="F14" s="19"/>
      <c r="G14" s="25"/>
      <c r="H14" s="12">
        <f t="shared" si="0"/>
        <v>1</v>
      </c>
      <c r="I14" s="12">
        <f t="shared" si="1"/>
        <v>0</v>
      </c>
      <c r="J14" s="12">
        <f>IF(AND($H14=1,$B14&lt;&gt;"",ISNUMBER($C14)),IF(((('Lucy Levene'!B14=$B14)*ISNUMBER('Lucy Levene'!C14)*(ABS('Lucy Levene'!C14-$C14)&lt;VisitHrs/24)+('Lucy Levene'!D14=$B14)*ISNUMBER('Lucy Levene'!E14)*(ABS('Lucy Levene'!E14-$C14)&lt;VisitHrs/24)+('Lucy Levene'!F14=$B14)*ISNUMBER('Lucy Levene'!G14)*(ABS('Lucy Levene'!G14-$C14)&lt;VisitHrs/24)+('Tom Bock'!B14=$B14)*ISNUMBER('Tom Bock'!C14)*(ABS('Tom Bock'!C14-$C14)&lt;VisitHrs/24)+('Tom Bock'!D14=$B14)*ISNUMBER('Tom Bock'!E14)*(ABS('Tom Bock'!E14-$C14)&lt;VisitHrs/24)+('Tom Bock'!F14=$B14)*ISNUMBER('Tom Bock'!G14)*(ABS('Tom Bock'!G14-$C14)&lt;VisitHrs/24)+(Jeremy!B14=$B14)*ISNUMBER(Jeremy!C14)*(ABS(Jeremy!C14-$C14)&lt;VisitHrs/24)+(Jeremy!D14=$B14)*ISNUMBER(Jeremy!E14)*(ABS(Jeremy!E14-$C14)&lt;VisitHrs/24)+(Jeremy!F14=$B14)*ISNUMBER(Jeremy!G14)*(ABS(Jeremy!G14-$C14)&lt;VisitHrs/24)+('Test Patient'!B14=$B14)*ISNUMBER('Test Patient'!C14)*(ABS('Test Patient'!C14-$C14)&lt;VisitHrs/24)+('Test Patient'!D14=$B14)*ISNUMBER('Test Patient'!E14)*(ABS('Test Patient'!E14-$C14)&lt;VisitHrs/24)+('Test Patient'!F14=$B14)*ISNUMBER('Test Patient'!G14)*(ABS('Test Patient'!G14-$C14)&lt;VisitHrs/24))-1)+('Anita Klesch'!$B14=$B14)*($C14&lt;DayEnd)*($C14+VisitHrs/24&gt;DayStart)+('Anita Klesch'!$C14=$B14)*((($C14+VisitHrs/24&gt;DayEnd)+($C14&lt;DayStart))&gt;0)+('Test Patient 2'!$B14=$B14)*($C14&lt;DayEnd)*($C14+VisitHrs/24&gt;DayStart)+('Test Patient 2'!$C14=$B14)*((($C14+VisitHrs/24&gt;DayEnd)+($C14&lt;DayStart))&gt;0)&gt;=1,1,0),0)</f>
        <v>0</v>
      </c>
      <c r="K14" s="12">
        <f>IF(AND($H14=1,$D14&lt;&gt;"",ISNUMBER($E14)),IF(((('Lucy Levene'!B14=$D14)*ISNUMBER('Lucy Levene'!C14)*(ABS('Lucy Levene'!C14-$E14)&lt;VisitHrs/24)+('Lucy Levene'!D14=$D14)*ISNUMBER('Lucy Levene'!E14)*(ABS('Lucy Levene'!E14-$E14)&lt;VisitHrs/24)+('Lucy Levene'!F14=$D14)*ISNUMBER('Lucy Levene'!G14)*(ABS('Lucy Levene'!G14-$E14)&lt;VisitHrs/24)+('Tom Bock'!B14=$D14)*ISNUMBER('Tom Bock'!C14)*(ABS('Tom Bock'!C14-$E14)&lt;VisitHrs/24)+('Tom Bock'!D14=$D14)*ISNUMBER('Tom Bock'!E14)*(ABS('Tom Bock'!E14-$E14)&lt;VisitHrs/24)+('Tom Bock'!F14=$D14)*ISNUMBER('Tom Bock'!G14)*(ABS('Tom Bock'!G14-$E14)&lt;VisitHrs/24)+(Jeremy!B14=$D14)*ISNUMBER(Jeremy!C14)*(ABS(Jeremy!C14-$E14)&lt;VisitHrs/24)+(Jeremy!D14=$D14)*ISNUMBER(Jeremy!E14)*(ABS(Jeremy!E14-$E14)&lt;VisitHrs/24)+(Jeremy!F14=$D14)*ISNUMBER(Jeremy!G14)*(ABS(Jeremy!G14-$E14)&lt;VisitHrs/24)+('Test Patient'!B14=$D14)*ISNUMBER('Test Patient'!C14)*(ABS('Test Patient'!C14-$E14)&lt;VisitHrs/24)+('Test Patient'!D14=$D14)*ISNUMBER('Test Patient'!E14)*(ABS('Test Patient'!E14-$E14)&lt;VisitHrs/24)+('Test Patient'!F14=$D14)*ISNUMBER('Test Patient'!G14)*(ABS('Test Patient'!G14-$E14)&lt;VisitHrs/24))-1)+('Anita Klesch'!$B14=$D14)*($E14&lt;DayEnd)*($E14+VisitHrs/24&gt;DayStart)+('Anita Klesch'!$C14=$D14)*((($E14+VisitHrs/24&gt;DayEnd)+($E14&lt;DayStart))&gt;0)+('Test Patient 2'!$B14=$D14)*($E14&lt;DayEnd)*($E14+VisitHrs/24&gt;DayStart)+('Test Patient 2'!$C14=$D14)*((($E14+VisitHrs/24&gt;DayEnd)+($E14&lt;DayStart))&gt;0)&gt;=1,1,0),0)</f>
        <v>0</v>
      </c>
      <c r="L14" s="12">
        <f>IF(AND($H14=1,$F14&lt;&gt;"",ISNUMBER($G14)),IF(((('Lucy Levene'!B14=$F14)*ISNUMBER('Lucy Levene'!C14)*(ABS('Lucy Levene'!C14-$G14)&lt;VisitHrs/24)+('Lucy Levene'!D14=$F14)*ISNUMBER('Lucy Levene'!E14)*(ABS('Lucy Levene'!E14-$G14)&lt;VisitHrs/24)+('Lucy Levene'!F14=$F14)*ISNUMBER('Lucy Levene'!G14)*(ABS('Lucy Levene'!G14-$G14)&lt;VisitHrs/24)+('Tom Bock'!B14=$F14)*ISNUMBER('Tom Bock'!C14)*(ABS('Tom Bock'!C14-$G14)&lt;VisitHrs/24)+('Tom Bock'!D14=$F14)*ISNUMBER('Tom Bock'!E14)*(ABS('Tom Bock'!E14-$G14)&lt;VisitHrs/24)+('Tom Bock'!F14=$F14)*ISNUMBER('Tom Bock'!G14)*(ABS('Tom Bock'!G14-$G14)&lt;VisitHrs/24)+(Jeremy!B14=$F14)*ISNUMBER(Jeremy!C14)*(ABS(Jeremy!C14-$G14)&lt;VisitHrs/24)+(Jeremy!D14=$F14)*ISNUMBER(Jeremy!E14)*(ABS(Jeremy!E14-$G14)&lt;VisitHrs/24)+(Jeremy!F14=$F14)*ISNUMBER(Jeremy!G14)*(ABS(Jeremy!G14-$G14)&lt;VisitHrs/24)+('Test Patient'!B14=$F14)*ISNUMBER('Test Patient'!C14)*(ABS('Test Patient'!C14-$G14)&lt;VisitHrs/24)+('Test Patient'!D14=$F14)*ISNUMBER('Test Patient'!E14)*(ABS('Test Patient'!E14-$G14)&lt;VisitHrs/24)+('Test Patient'!F14=$F14)*ISNUMBER('Test Patient'!G14)*(ABS('Test Patient'!G14-$G14)&lt;VisitHrs/24))-1)+('Anita Klesch'!$B14=$F14)*($G14&lt;DayEnd)*($G14+VisitHrs/24&gt;DayStart)+('Anita Klesch'!$C14=$F14)*((($G14+VisitHrs/24&gt;DayEnd)+($G14&lt;DayStart))&gt;0)+('Test Patient 2'!$B14=$F14)*($G14&lt;DayEnd)*($G14+VisitHrs/24&gt;DayStart)+('Test Patient 2'!$C14=$F14)*((($G14+VisitHrs/24&gt;DayEnd)+($G14&lt;DayStart))&gt;0)&gt;=1,1,0),0)</f>
        <v>0</v>
      </c>
      <c r="M14" s="12">
        <f t="shared" si="2"/>
        <v>0</v>
      </c>
      <c r="N14" s="12">
        <f t="shared" si="3"/>
        <v>0</v>
      </c>
      <c r="O14" s="12">
        <f t="shared" si="4"/>
        <v>0</v>
      </c>
    </row>
    <row r="15" spans="1:15" x14ac:dyDescent="0.2">
      <c r="A15" s="2">
        <f t="shared" si="5"/>
        <v>46221</v>
      </c>
      <c r="B15" s="19"/>
      <c r="C15" s="25"/>
      <c r="D15" s="19"/>
      <c r="E15" s="25"/>
      <c r="F15" s="19"/>
      <c r="G15" s="25"/>
      <c r="H15" s="12">
        <f t="shared" si="0"/>
        <v>1</v>
      </c>
      <c r="I15" s="12">
        <f t="shared" si="1"/>
        <v>0</v>
      </c>
      <c r="J15" s="12">
        <f>IF(AND($H15=1,$B15&lt;&gt;"",ISNUMBER($C15)),IF(((('Lucy Levene'!B15=$B15)*ISNUMBER('Lucy Levene'!C15)*(ABS('Lucy Levene'!C15-$C15)&lt;VisitHrs/24)+('Lucy Levene'!D15=$B15)*ISNUMBER('Lucy Levene'!E15)*(ABS('Lucy Levene'!E15-$C15)&lt;VisitHrs/24)+('Lucy Levene'!F15=$B15)*ISNUMBER('Lucy Levene'!G15)*(ABS('Lucy Levene'!G15-$C15)&lt;VisitHrs/24)+('Tom Bock'!B15=$B15)*ISNUMBER('Tom Bock'!C15)*(ABS('Tom Bock'!C15-$C15)&lt;VisitHrs/24)+('Tom Bock'!D15=$B15)*ISNUMBER('Tom Bock'!E15)*(ABS('Tom Bock'!E15-$C15)&lt;VisitHrs/24)+('Tom Bock'!F15=$B15)*ISNUMBER('Tom Bock'!G15)*(ABS('Tom Bock'!G15-$C15)&lt;VisitHrs/24)+(Jeremy!B15=$B15)*ISNUMBER(Jeremy!C15)*(ABS(Jeremy!C15-$C15)&lt;VisitHrs/24)+(Jeremy!D15=$B15)*ISNUMBER(Jeremy!E15)*(ABS(Jeremy!E15-$C15)&lt;VisitHrs/24)+(Jeremy!F15=$B15)*ISNUMBER(Jeremy!G15)*(ABS(Jeremy!G15-$C15)&lt;VisitHrs/24)+('Test Patient'!B15=$B15)*ISNUMBER('Test Patient'!C15)*(ABS('Test Patient'!C15-$C15)&lt;VisitHrs/24)+('Test Patient'!D15=$B15)*ISNUMBER('Test Patient'!E15)*(ABS('Test Patient'!E15-$C15)&lt;VisitHrs/24)+('Test Patient'!F15=$B15)*ISNUMBER('Test Patient'!G15)*(ABS('Test Patient'!G15-$C15)&lt;VisitHrs/24))-1)+('Anita Klesch'!$B15=$B15)*($C15&lt;DayEnd)*($C15+VisitHrs/24&gt;DayStart)+('Anita Klesch'!$C15=$B15)*((($C15+VisitHrs/24&gt;DayEnd)+($C15&lt;DayStart))&gt;0)+('Test Patient 2'!$B15=$B15)*($C15&lt;DayEnd)*($C15+VisitHrs/24&gt;DayStart)+('Test Patient 2'!$C15=$B15)*((($C15+VisitHrs/24&gt;DayEnd)+($C15&lt;DayStart))&gt;0)&gt;=1,1,0),0)</f>
        <v>0</v>
      </c>
      <c r="K15" s="12">
        <f>IF(AND($H15=1,$D15&lt;&gt;"",ISNUMBER($E15)),IF(((('Lucy Levene'!B15=$D15)*ISNUMBER('Lucy Levene'!C15)*(ABS('Lucy Levene'!C15-$E15)&lt;VisitHrs/24)+('Lucy Levene'!D15=$D15)*ISNUMBER('Lucy Levene'!E15)*(ABS('Lucy Levene'!E15-$E15)&lt;VisitHrs/24)+('Lucy Levene'!F15=$D15)*ISNUMBER('Lucy Levene'!G15)*(ABS('Lucy Levene'!G15-$E15)&lt;VisitHrs/24)+('Tom Bock'!B15=$D15)*ISNUMBER('Tom Bock'!C15)*(ABS('Tom Bock'!C15-$E15)&lt;VisitHrs/24)+('Tom Bock'!D15=$D15)*ISNUMBER('Tom Bock'!E15)*(ABS('Tom Bock'!E15-$E15)&lt;VisitHrs/24)+('Tom Bock'!F15=$D15)*ISNUMBER('Tom Bock'!G15)*(ABS('Tom Bock'!G15-$E15)&lt;VisitHrs/24)+(Jeremy!B15=$D15)*ISNUMBER(Jeremy!C15)*(ABS(Jeremy!C15-$E15)&lt;VisitHrs/24)+(Jeremy!D15=$D15)*ISNUMBER(Jeremy!E15)*(ABS(Jeremy!E15-$E15)&lt;VisitHrs/24)+(Jeremy!F15=$D15)*ISNUMBER(Jeremy!G15)*(ABS(Jeremy!G15-$E15)&lt;VisitHrs/24)+('Test Patient'!B15=$D15)*ISNUMBER('Test Patient'!C15)*(ABS('Test Patient'!C15-$E15)&lt;VisitHrs/24)+('Test Patient'!D15=$D15)*ISNUMBER('Test Patient'!E15)*(ABS('Test Patient'!E15-$E15)&lt;VisitHrs/24)+('Test Patient'!F15=$D15)*ISNUMBER('Test Patient'!G15)*(ABS('Test Patient'!G15-$E15)&lt;VisitHrs/24))-1)+('Anita Klesch'!$B15=$D15)*($E15&lt;DayEnd)*($E15+VisitHrs/24&gt;DayStart)+('Anita Klesch'!$C15=$D15)*((($E15+VisitHrs/24&gt;DayEnd)+($E15&lt;DayStart))&gt;0)+('Test Patient 2'!$B15=$D15)*($E15&lt;DayEnd)*($E15+VisitHrs/24&gt;DayStart)+('Test Patient 2'!$C15=$D15)*((($E15+VisitHrs/24&gt;DayEnd)+($E15&lt;DayStart))&gt;0)&gt;=1,1,0),0)</f>
        <v>0</v>
      </c>
      <c r="L15" s="12">
        <f>IF(AND($H15=1,$F15&lt;&gt;"",ISNUMBER($G15)),IF(((('Lucy Levene'!B15=$F15)*ISNUMBER('Lucy Levene'!C15)*(ABS('Lucy Levene'!C15-$G15)&lt;VisitHrs/24)+('Lucy Levene'!D15=$F15)*ISNUMBER('Lucy Levene'!E15)*(ABS('Lucy Levene'!E15-$G15)&lt;VisitHrs/24)+('Lucy Levene'!F15=$F15)*ISNUMBER('Lucy Levene'!G15)*(ABS('Lucy Levene'!G15-$G15)&lt;VisitHrs/24)+('Tom Bock'!B15=$F15)*ISNUMBER('Tom Bock'!C15)*(ABS('Tom Bock'!C15-$G15)&lt;VisitHrs/24)+('Tom Bock'!D15=$F15)*ISNUMBER('Tom Bock'!E15)*(ABS('Tom Bock'!E15-$G15)&lt;VisitHrs/24)+('Tom Bock'!F15=$F15)*ISNUMBER('Tom Bock'!G15)*(ABS('Tom Bock'!G15-$G15)&lt;VisitHrs/24)+(Jeremy!B15=$F15)*ISNUMBER(Jeremy!C15)*(ABS(Jeremy!C15-$G15)&lt;VisitHrs/24)+(Jeremy!D15=$F15)*ISNUMBER(Jeremy!E15)*(ABS(Jeremy!E15-$G15)&lt;VisitHrs/24)+(Jeremy!F15=$F15)*ISNUMBER(Jeremy!G15)*(ABS(Jeremy!G15-$G15)&lt;VisitHrs/24)+('Test Patient'!B15=$F15)*ISNUMBER('Test Patient'!C15)*(ABS('Test Patient'!C15-$G15)&lt;VisitHrs/24)+('Test Patient'!D15=$F15)*ISNUMBER('Test Patient'!E15)*(ABS('Test Patient'!E15-$G15)&lt;VisitHrs/24)+('Test Patient'!F15=$F15)*ISNUMBER('Test Patient'!G15)*(ABS('Test Patient'!G15-$G15)&lt;VisitHrs/24))-1)+('Anita Klesch'!$B15=$F15)*($G15&lt;DayEnd)*($G15+VisitHrs/24&gt;DayStart)+('Anita Klesch'!$C15=$F15)*((($G15+VisitHrs/24&gt;DayEnd)+($G15&lt;DayStart))&gt;0)+('Test Patient 2'!$B15=$F15)*($G15&lt;DayEnd)*($G15+VisitHrs/24&gt;DayStart)+('Test Patient 2'!$C15=$F15)*((($G15+VisitHrs/24&gt;DayEnd)+($G15&lt;DayStart))&gt;0)&gt;=1,1,0),0)</f>
        <v>0</v>
      </c>
      <c r="M15" s="12">
        <f t="shared" si="2"/>
        <v>0</v>
      </c>
      <c r="N15" s="12">
        <f t="shared" si="3"/>
        <v>0</v>
      </c>
      <c r="O15" s="12">
        <f t="shared" si="4"/>
        <v>0</v>
      </c>
    </row>
    <row r="16" spans="1:15" x14ac:dyDescent="0.2">
      <c r="A16" s="2">
        <f t="shared" si="5"/>
        <v>46222</v>
      </c>
      <c r="B16" s="19"/>
      <c r="C16" s="25"/>
      <c r="D16" s="19"/>
      <c r="E16" s="25"/>
      <c r="F16" s="19"/>
      <c r="G16" s="25"/>
      <c r="H16" s="12">
        <f t="shared" si="0"/>
        <v>1</v>
      </c>
      <c r="I16" s="12">
        <f t="shared" si="1"/>
        <v>0</v>
      </c>
      <c r="J16" s="12">
        <f>IF(AND($H16=1,$B16&lt;&gt;"",ISNUMBER($C16)),IF(((('Lucy Levene'!B16=$B16)*ISNUMBER('Lucy Levene'!C16)*(ABS('Lucy Levene'!C16-$C16)&lt;VisitHrs/24)+('Lucy Levene'!D16=$B16)*ISNUMBER('Lucy Levene'!E16)*(ABS('Lucy Levene'!E16-$C16)&lt;VisitHrs/24)+('Lucy Levene'!F16=$B16)*ISNUMBER('Lucy Levene'!G16)*(ABS('Lucy Levene'!G16-$C16)&lt;VisitHrs/24)+('Tom Bock'!B16=$B16)*ISNUMBER('Tom Bock'!C16)*(ABS('Tom Bock'!C16-$C16)&lt;VisitHrs/24)+('Tom Bock'!D16=$B16)*ISNUMBER('Tom Bock'!E16)*(ABS('Tom Bock'!E16-$C16)&lt;VisitHrs/24)+('Tom Bock'!F16=$B16)*ISNUMBER('Tom Bock'!G16)*(ABS('Tom Bock'!G16-$C16)&lt;VisitHrs/24)+(Jeremy!B16=$B16)*ISNUMBER(Jeremy!C16)*(ABS(Jeremy!C16-$C16)&lt;VisitHrs/24)+(Jeremy!D16=$B16)*ISNUMBER(Jeremy!E16)*(ABS(Jeremy!E16-$C16)&lt;VisitHrs/24)+(Jeremy!F16=$B16)*ISNUMBER(Jeremy!G16)*(ABS(Jeremy!G16-$C16)&lt;VisitHrs/24)+('Test Patient'!B16=$B16)*ISNUMBER('Test Patient'!C16)*(ABS('Test Patient'!C16-$C16)&lt;VisitHrs/24)+('Test Patient'!D16=$B16)*ISNUMBER('Test Patient'!E16)*(ABS('Test Patient'!E16-$C16)&lt;VisitHrs/24)+('Test Patient'!F16=$B16)*ISNUMBER('Test Patient'!G16)*(ABS('Test Patient'!G16-$C16)&lt;VisitHrs/24))-1)+('Anita Klesch'!$B16=$B16)*($C16&lt;DayEnd)*($C16+VisitHrs/24&gt;DayStart)+('Anita Klesch'!$C16=$B16)*((($C16+VisitHrs/24&gt;DayEnd)+($C16&lt;DayStart))&gt;0)+('Test Patient 2'!$B16=$B16)*($C16&lt;DayEnd)*($C16+VisitHrs/24&gt;DayStart)+('Test Patient 2'!$C16=$B16)*((($C16+VisitHrs/24&gt;DayEnd)+($C16&lt;DayStart))&gt;0)&gt;=1,1,0),0)</f>
        <v>0</v>
      </c>
      <c r="K16" s="12">
        <f>IF(AND($H16=1,$D16&lt;&gt;"",ISNUMBER($E16)),IF(((('Lucy Levene'!B16=$D16)*ISNUMBER('Lucy Levene'!C16)*(ABS('Lucy Levene'!C16-$E16)&lt;VisitHrs/24)+('Lucy Levene'!D16=$D16)*ISNUMBER('Lucy Levene'!E16)*(ABS('Lucy Levene'!E16-$E16)&lt;VisitHrs/24)+('Lucy Levene'!F16=$D16)*ISNUMBER('Lucy Levene'!G16)*(ABS('Lucy Levene'!G16-$E16)&lt;VisitHrs/24)+('Tom Bock'!B16=$D16)*ISNUMBER('Tom Bock'!C16)*(ABS('Tom Bock'!C16-$E16)&lt;VisitHrs/24)+('Tom Bock'!D16=$D16)*ISNUMBER('Tom Bock'!E16)*(ABS('Tom Bock'!E16-$E16)&lt;VisitHrs/24)+('Tom Bock'!F16=$D16)*ISNUMBER('Tom Bock'!G16)*(ABS('Tom Bock'!G16-$E16)&lt;VisitHrs/24)+(Jeremy!B16=$D16)*ISNUMBER(Jeremy!C16)*(ABS(Jeremy!C16-$E16)&lt;VisitHrs/24)+(Jeremy!D16=$D16)*ISNUMBER(Jeremy!E16)*(ABS(Jeremy!E16-$E16)&lt;VisitHrs/24)+(Jeremy!F16=$D16)*ISNUMBER(Jeremy!G16)*(ABS(Jeremy!G16-$E16)&lt;VisitHrs/24)+('Test Patient'!B16=$D16)*ISNUMBER('Test Patient'!C16)*(ABS('Test Patient'!C16-$E16)&lt;VisitHrs/24)+('Test Patient'!D16=$D16)*ISNUMBER('Test Patient'!E16)*(ABS('Test Patient'!E16-$E16)&lt;VisitHrs/24)+('Test Patient'!F16=$D16)*ISNUMBER('Test Patient'!G16)*(ABS('Test Patient'!G16-$E16)&lt;VisitHrs/24))-1)+('Anita Klesch'!$B16=$D16)*($E16&lt;DayEnd)*($E16+VisitHrs/24&gt;DayStart)+('Anita Klesch'!$C16=$D16)*((($E16+VisitHrs/24&gt;DayEnd)+($E16&lt;DayStart))&gt;0)+('Test Patient 2'!$B16=$D16)*($E16&lt;DayEnd)*($E16+VisitHrs/24&gt;DayStart)+('Test Patient 2'!$C16=$D16)*((($E16+VisitHrs/24&gt;DayEnd)+($E16&lt;DayStart))&gt;0)&gt;=1,1,0),0)</f>
        <v>0</v>
      </c>
      <c r="L16" s="12">
        <f>IF(AND($H16=1,$F16&lt;&gt;"",ISNUMBER($G16)),IF(((('Lucy Levene'!B16=$F16)*ISNUMBER('Lucy Levene'!C16)*(ABS('Lucy Levene'!C16-$G16)&lt;VisitHrs/24)+('Lucy Levene'!D16=$F16)*ISNUMBER('Lucy Levene'!E16)*(ABS('Lucy Levene'!E16-$G16)&lt;VisitHrs/24)+('Lucy Levene'!F16=$F16)*ISNUMBER('Lucy Levene'!G16)*(ABS('Lucy Levene'!G16-$G16)&lt;VisitHrs/24)+('Tom Bock'!B16=$F16)*ISNUMBER('Tom Bock'!C16)*(ABS('Tom Bock'!C16-$G16)&lt;VisitHrs/24)+('Tom Bock'!D16=$F16)*ISNUMBER('Tom Bock'!E16)*(ABS('Tom Bock'!E16-$G16)&lt;VisitHrs/24)+('Tom Bock'!F16=$F16)*ISNUMBER('Tom Bock'!G16)*(ABS('Tom Bock'!G16-$G16)&lt;VisitHrs/24)+(Jeremy!B16=$F16)*ISNUMBER(Jeremy!C16)*(ABS(Jeremy!C16-$G16)&lt;VisitHrs/24)+(Jeremy!D16=$F16)*ISNUMBER(Jeremy!E16)*(ABS(Jeremy!E16-$G16)&lt;VisitHrs/24)+(Jeremy!F16=$F16)*ISNUMBER(Jeremy!G16)*(ABS(Jeremy!G16-$G16)&lt;VisitHrs/24)+('Test Patient'!B16=$F16)*ISNUMBER('Test Patient'!C16)*(ABS('Test Patient'!C16-$G16)&lt;VisitHrs/24)+('Test Patient'!D16=$F16)*ISNUMBER('Test Patient'!E16)*(ABS('Test Patient'!E16-$G16)&lt;VisitHrs/24)+('Test Patient'!F16=$F16)*ISNUMBER('Test Patient'!G16)*(ABS('Test Patient'!G16-$G16)&lt;VisitHrs/24))-1)+('Anita Klesch'!$B16=$F16)*($G16&lt;DayEnd)*($G16+VisitHrs/24&gt;DayStart)+('Anita Klesch'!$C16=$F16)*((($G16+VisitHrs/24&gt;DayEnd)+($G16&lt;DayStart))&gt;0)+('Test Patient 2'!$B16=$F16)*($G16&lt;DayEnd)*($G16+VisitHrs/24&gt;DayStart)+('Test Patient 2'!$C16=$F16)*((($G16+VisitHrs/24&gt;DayEnd)+($G16&lt;DayStart))&gt;0)&gt;=1,1,0),0)</f>
        <v>0</v>
      </c>
      <c r="M16" s="12">
        <f t="shared" si="2"/>
        <v>0</v>
      </c>
      <c r="N16" s="12">
        <f t="shared" si="3"/>
        <v>0</v>
      </c>
      <c r="O16" s="12">
        <f t="shared" si="4"/>
        <v>0</v>
      </c>
    </row>
    <row r="17" spans="1:15" x14ac:dyDescent="0.2">
      <c r="A17" s="2">
        <f t="shared" si="5"/>
        <v>46223</v>
      </c>
      <c r="B17" s="19"/>
      <c r="C17" s="25"/>
      <c r="D17" s="19"/>
      <c r="E17" s="25"/>
      <c r="F17" s="19"/>
      <c r="G17" s="25"/>
      <c r="H17" s="12">
        <f t="shared" si="0"/>
        <v>1</v>
      </c>
      <c r="I17" s="12">
        <f t="shared" si="1"/>
        <v>0</v>
      </c>
      <c r="J17" s="12">
        <f>IF(AND($H17=1,$B17&lt;&gt;"",ISNUMBER($C17)),IF(((('Lucy Levene'!B17=$B17)*ISNUMBER('Lucy Levene'!C17)*(ABS('Lucy Levene'!C17-$C17)&lt;VisitHrs/24)+('Lucy Levene'!D17=$B17)*ISNUMBER('Lucy Levene'!E17)*(ABS('Lucy Levene'!E17-$C17)&lt;VisitHrs/24)+('Lucy Levene'!F17=$B17)*ISNUMBER('Lucy Levene'!G17)*(ABS('Lucy Levene'!G17-$C17)&lt;VisitHrs/24)+('Tom Bock'!B17=$B17)*ISNUMBER('Tom Bock'!C17)*(ABS('Tom Bock'!C17-$C17)&lt;VisitHrs/24)+('Tom Bock'!D17=$B17)*ISNUMBER('Tom Bock'!E17)*(ABS('Tom Bock'!E17-$C17)&lt;VisitHrs/24)+('Tom Bock'!F17=$B17)*ISNUMBER('Tom Bock'!G17)*(ABS('Tom Bock'!G17-$C17)&lt;VisitHrs/24)+(Jeremy!B17=$B17)*ISNUMBER(Jeremy!C17)*(ABS(Jeremy!C17-$C17)&lt;VisitHrs/24)+(Jeremy!D17=$B17)*ISNUMBER(Jeremy!E17)*(ABS(Jeremy!E17-$C17)&lt;VisitHrs/24)+(Jeremy!F17=$B17)*ISNUMBER(Jeremy!G17)*(ABS(Jeremy!G17-$C17)&lt;VisitHrs/24)+('Test Patient'!B17=$B17)*ISNUMBER('Test Patient'!C17)*(ABS('Test Patient'!C17-$C17)&lt;VisitHrs/24)+('Test Patient'!D17=$B17)*ISNUMBER('Test Patient'!E17)*(ABS('Test Patient'!E17-$C17)&lt;VisitHrs/24)+('Test Patient'!F17=$B17)*ISNUMBER('Test Patient'!G17)*(ABS('Test Patient'!G17-$C17)&lt;VisitHrs/24))-1)+('Anita Klesch'!$B17=$B17)*($C17&lt;DayEnd)*($C17+VisitHrs/24&gt;DayStart)+('Anita Klesch'!$C17=$B17)*((($C17+VisitHrs/24&gt;DayEnd)+($C17&lt;DayStart))&gt;0)+('Test Patient 2'!$B17=$B17)*($C17&lt;DayEnd)*($C17+VisitHrs/24&gt;DayStart)+('Test Patient 2'!$C17=$B17)*((($C17+VisitHrs/24&gt;DayEnd)+($C17&lt;DayStart))&gt;0)&gt;=1,1,0),0)</f>
        <v>0</v>
      </c>
      <c r="K17" s="12">
        <f>IF(AND($H17=1,$D17&lt;&gt;"",ISNUMBER($E17)),IF(((('Lucy Levene'!B17=$D17)*ISNUMBER('Lucy Levene'!C17)*(ABS('Lucy Levene'!C17-$E17)&lt;VisitHrs/24)+('Lucy Levene'!D17=$D17)*ISNUMBER('Lucy Levene'!E17)*(ABS('Lucy Levene'!E17-$E17)&lt;VisitHrs/24)+('Lucy Levene'!F17=$D17)*ISNUMBER('Lucy Levene'!G17)*(ABS('Lucy Levene'!G17-$E17)&lt;VisitHrs/24)+('Tom Bock'!B17=$D17)*ISNUMBER('Tom Bock'!C17)*(ABS('Tom Bock'!C17-$E17)&lt;VisitHrs/24)+('Tom Bock'!D17=$D17)*ISNUMBER('Tom Bock'!E17)*(ABS('Tom Bock'!E17-$E17)&lt;VisitHrs/24)+('Tom Bock'!F17=$D17)*ISNUMBER('Tom Bock'!G17)*(ABS('Tom Bock'!G17-$E17)&lt;VisitHrs/24)+(Jeremy!B17=$D17)*ISNUMBER(Jeremy!C17)*(ABS(Jeremy!C17-$E17)&lt;VisitHrs/24)+(Jeremy!D17=$D17)*ISNUMBER(Jeremy!E17)*(ABS(Jeremy!E17-$E17)&lt;VisitHrs/24)+(Jeremy!F17=$D17)*ISNUMBER(Jeremy!G17)*(ABS(Jeremy!G17-$E17)&lt;VisitHrs/24)+('Test Patient'!B17=$D17)*ISNUMBER('Test Patient'!C17)*(ABS('Test Patient'!C17-$E17)&lt;VisitHrs/24)+('Test Patient'!D17=$D17)*ISNUMBER('Test Patient'!E17)*(ABS('Test Patient'!E17-$E17)&lt;VisitHrs/24)+('Test Patient'!F17=$D17)*ISNUMBER('Test Patient'!G17)*(ABS('Test Patient'!G17-$E17)&lt;VisitHrs/24))-1)+('Anita Klesch'!$B17=$D17)*($E17&lt;DayEnd)*($E17+VisitHrs/24&gt;DayStart)+('Anita Klesch'!$C17=$D17)*((($E17+VisitHrs/24&gt;DayEnd)+($E17&lt;DayStart))&gt;0)+('Test Patient 2'!$B17=$D17)*($E17&lt;DayEnd)*($E17+VisitHrs/24&gt;DayStart)+('Test Patient 2'!$C17=$D17)*((($E17+VisitHrs/24&gt;DayEnd)+($E17&lt;DayStart))&gt;0)&gt;=1,1,0),0)</f>
        <v>0</v>
      </c>
      <c r="L17" s="12">
        <f>IF(AND($H17=1,$F17&lt;&gt;"",ISNUMBER($G17)),IF(((('Lucy Levene'!B17=$F17)*ISNUMBER('Lucy Levene'!C17)*(ABS('Lucy Levene'!C17-$G17)&lt;VisitHrs/24)+('Lucy Levene'!D17=$F17)*ISNUMBER('Lucy Levene'!E17)*(ABS('Lucy Levene'!E17-$G17)&lt;VisitHrs/24)+('Lucy Levene'!F17=$F17)*ISNUMBER('Lucy Levene'!G17)*(ABS('Lucy Levene'!G17-$G17)&lt;VisitHrs/24)+('Tom Bock'!B17=$F17)*ISNUMBER('Tom Bock'!C17)*(ABS('Tom Bock'!C17-$G17)&lt;VisitHrs/24)+('Tom Bock'!D17=$F17)*ISNUMBER('Tom Bock'!E17)*(ABS('Tom Bock'!E17-$G17)&lt;VisitHrs/24)+('Tom Bock'!F17=$F17)*ISNUMBER('Tom Bock'!G17)*(ABS('Tom Bock'!G17-$G17)&lt;VisitHrs/24)+(Jeremy!B17=$F17)*ISNUMBER(Jeremy!C17)*(ABS(Jeremy!C17-$G17)&lt;VisitHrs/24)+(Jeremy!D17=$F17)*ISNUMBER(Jeremy!E17)*(ABS(Jeremy!E17-$G17)&lt;VisitHrs/24)+(Jeremy!F17=$F17)*ISNUMBER(Jeremy!G17)*(ABS(Jeremy!G17-$G17)&lt;VisitHrs/24)+('Test Patient'!B17=$F17)*ISNUMBER('Test Patient'!C17)*(ABS('Test Patient'!C17-$G17)&lt;VisitHrs/24)+('Test Patient'!D17=$F17)*ISNUMBER('Test Patient'!E17)*(ABS('Test Patient'!E17-$G17)&lt;VisitHrs/24)+('Test Patient'!F17=$F17)*ISNUMBER('Test Patient'!G17)*(ABS('Test Patient'!G17-$G17)&lt;VisitHrs/24))-1)+('Anita Klesch'!$B17=$F17)*($G17&lt;DayEnd)*($G17+VisitHrs/24&gt;DayStart)+('Anita Klesch'!$C17=$F17)*((($G17+VisitHrs/24&gt;DayEnd)+($G17&lt;DayStart))&gt;0)+('Test Patient 2'!$B17=$F17)*($G17&lt;DayEnd)*($G17+VisitHrs/24&gt;DayStart)+('Test Patient 2'!$C17=$F17)*((($G17+VisitHrs/24&gt;DayEnd)+($G17&lt;DayStart))&gt;0)&gt;=1,1,0),0)</f>
        <v>0</v>
      </c>
      <c r="M17" s="12">
        <f t="shared" si="2"/>
        <v>0</v>
      </c>
      <c r="N17" s="12">
        <f t="shared" si="3"/>
        <v>0</v>
      </c>
      <c r="O17" s="12">
        <f t="shared" si="4"/>
        <v>0</v>
      </c>
    </row>
    <row r="18" spans="1:15" x14ac:dyDescent="0.2">
      <c r="A18" s="2">
        <f t="shared" si="5"/>
        <v>46224</v>
      </c>
      <c r="B18" s="19"/>
      <c r="C18" s="25"/>
      <c r="D18" s="19"/>
      <c r="E18" s="25"/>
      <c r="F18" s="19"/>
      <c r="G18" s="25"/>
      <c r="H18" s="12">
        <f t="shared" si="0"/>
        <v>1</v>
      </c>
      <c r="I18" s="12">
        <f t="shared" si="1"/>
        <v>0</v>
      </c>
      <c r="J18" s="12">
        <f>IF(AND($H18=1,$B18&lt;&gt;"",ISNUMBER($C18)),IF(((('Lucy Levene'!B18=$B18)*ISNUMBER('Lucy Levene'!C18)*(ABS('Lucy Levene'!C18-$C18)&lt;VisitHrs/24)+('Lucy Levene'!D18=$B18)*ISNUMBER('Lucy Levene'!E18)*(ABS('Lucy Levene'!E18-$C18)&lt;VisitHrs/24)+('Lucy Levene'!F18=$B18)*ISNUMBER('Lucy Levene'!G18)*(ABS('Lucy Levene'!G18-$C18)&lt;VisitHrs/24)+('Tom Bock'!B18=$B18)*ISNUMBER('Tom Bock'!C18)*(ABS('Tom Bock'!C18-$C18)&lt;VisitHrs/24)+('Tom Bock'!D18=$B18)*ISNUMBER('Tom Bock'!E18)*(ABS('Tom Bock'!E18-$C18)&lt;VisitHrs/24)+('Tom Bock'!F18=$B18)*ISNUMBER('Tom Bock'!G18)*(ABS('Tom Bock'!G18-$C18)&lt;VisitHrs/24)+(Jeremy!B18=$B18)*ISNUMBER(Jeremy!C18)*(ABS(Jeremy!C18-$C18)&lt;VisitHrs/24)+(Jeremy!D18=$B18)*ISNUMBER(Jeremy!E18)*(ABS(Jeremy!E18-$C18)&lt;VisitHrs/24)+(Jeremy!F18=$B18)*ISNUMBER(Jeremy!G18)*(ABS(Jeremy!G18-$C18)&lt;VisitHrs/24)+('Test Patient'!B18=$B18)*ISNUMBER('Test Patient'!C18)*(ABS('Test Patient'!C18-$C18)&lt;VisitHrs/24)+('Test Patient'!D18=$B18)*ISNUMBER('Test Patient'!E18)*(ABS('Test Patient'!E18-$C18)&lt;VisitHrs/24)+('Test Patient'!F18=$B18)*ISNUMBER('Test Patient'!G18)*(ABS('Test Patient'!G18-$C18)&lt;VisitHrs/24))-1)+('Anita Klesch'!$B18=$B18)*($C18&lt;DayEnd)*($C18+VisitHrs/24&gt;DayStart)+('Anita Klesch'!$C18=$B18)*((($C18+VisitHrs/24&gt;DayEnd)+($C18&lt;DayStart))&gt;0)+('Test Patient 2'!$B18=$B18)*($C18&lt;DayEnd)*($C18+VisitHrs/24&gt;DayStart)+('Test Patient 2'!$C18=$B18)*((($C18+VisitHrs/24&gt;DayEnd)+($C18&lt;DayStart))&gt;0)&gt;=1,1,0),0)</f>
        <v>0</v>
      </c>
      <c r="K18" s="12">
        <f>IF(AND($H18=1,$D18&lt;&gt;"",ISNUMBER($E18)),IF(((('Lucy Levene'!B18=$D18)*ISNUMBER('Lucy Levene'!C18)*(ABS('Lucy Levene'!C18-$E18)&lt;VisitHrs/24)+('Lucy Levene'!D18=$D18)*ISNUMBER('Lucy Levene'!E18)*(ABS('Lucy Levene'!E18-$E18)&lt;VisitHrs/24)+('Lucy Levene'!F18=$D18)*ISNUMBER('Lucy Levene'!G18)*(ABS('Lucy Levene'!G18-$E18)&lt;VisitHrs/24)+('Tom Bock'!B18=$D18)*ISNUMBER('Tom Bock'!C18)*(ABS('Tom Bock'!C18-$E18)&lt;VisitHrs/24)+('Tom Bock'!D18=$D18)*ISNUMBER('Tom Bock'!E18)*(ABS('Tom Bock'!E18-$E18)&lt;VisitHrs/24)+('Tom Bock'!F18=$D18)*ISNUMBER('Tom Bock'!G18)*(ABS('Tom Bock'!G18-$E18)&lt;VisitHrs/24)+(Jeremy!B18=$D18)*ISNUMBER(Jeremy!C18)*(ABS(Jeremy!C18-$E18)&lt;VisitHrs/24)+(Jeremy!D18=$D18)*ISNUMBER(Jeremy!E18)*(ABS(Jeremy!E18-$E18)&lt;VisitHrs/24)+(Jeremy!F18=$D18)*ISNUMBER(Jeremy!G18)*(ABS(Jeremy!G18-$E18)&lt;VisitHrs/24)+('Test Patient'!B18=$D18)*ISNUMBER('Test Patient'!C18)*(ABS('Test Patient'!C18-$E18)&lt;VisitHrs/24)+('Test Patient'!D18=$D18)*ISNUMBER('Test Patient'!E18)*(ABS('Test Patient'!E18-$E18)&lt;VisitHrs/24)+('Test Patient'!F18=$D18)*ISNUMBER('Test Patient'!G18)*(ABS('Test Patient'!G18-$E18)&lt;VisitHrs/24))-1)+('Anita Klesch'!$B18=$D18)*($E18&lt;DayEnd)*($E18+VisitHrs/24&gt;DayStart)+('Anita Klesch'!$C18=$D18)*((($E18+VisitHrs/24&gt;DayEnd)+($E18&lt;DayStart))&gt;0)+('Test Patient 2'!$B18=$D18)*($E18&lt;DayEnd)*($E18+VisitHrs/24&gt;DayStart)+('Test Patient 2'!$C18=$D18)*((($E18+VisitHrs/24&gt;DayEnd)+($E18&lt;DayStart))&gt;0)&gt;=1,1,0),0)</f>
        <v>0</v>
      </c>
      <c r="L18" s="12">
        <f>IF(AND($H18=1,$F18&lt;&gt;"",ISNUMBER($G18)),IF(((('Lucy Levene'!B18=$F18)*ISNUMBER('Lucy Levene'!C18)*(ABS('Lucy Levene'!C18-$G18)&lt;VisitHrs/24)+('Lucy Levene'!D18=$F18)*ISNUMBER('Lucy Levene'!E18)*(ABS('Lucy Levene'!E18-$G18)&lt;VisitHrs/24)+('Lucy Levene'!F18=$F18)*ISNUMBER('Lucy Levene'!G18)*(ABS('Lucy Levene'!G18-$G18)&lt;VisitHrs/24)+('Tom Bock'!B18=$F18)*ISNUMBER('Tom Bock'!C18)*(ABS('Tom Bock'!C18-$G18)&lt;VisitHrs/24)+('Tom Bock'!D18=$F18)*ISNUMBER('Tom Bock'!E18)*(ABS('Tom Bock'!E18-$G18)&lt;VisitHrs/24)+('Tom Bock'!F18=$F18)*ISNUMBER('Tom Bock'!G18)*(ABS('Tom Bock'!G18-$G18)&lt;VisitHrs/24)+(Jeremy!B18=$F18)*ISNUMBER(Jeremy!C18)*(ABS(Jeremy!C18-$G18)&lt;VisitHrs/24)+(Jeremy!D18=$F18)*ISNUMBER(Jeremy!E18)*(ABS(Jeremy!E18-$G18)&lt;VisitHrs/24)+(Jeremy!F18=$F18)*ISNUMBER(Jeremy!G18)*(ABS(Jeremy!G18-$G18)&lt;VisitHrs/24)+('Test Patient'!B18=$F18)*ISNUMBER('Test Patient'!C18)*(ABS('Test Patient'!C18-$G18)&lt;VisitHrs/24)+('Test Patient'!D18=$F18)*ISNUMBER('Test Patient'!E18)*(ABS('Test Patient'!E18-$G18)&lt;VisitHrs/24)+('Test Patient'!F18=$F18)*ISNUMBER('Test Patient'!G18)*(ABS('Test Patient'!G18-$G18)&lt;VisitHrs/24))-1)+('Anita Klesch'!$B18=$F18)*($G18&lt;DayEnd)*($G18+VisitHrs/24&gt;DayStart)+('Anita Klesch'!$C18=$F18)*((($G18+VisitHrs/24&gt;DayEnd)+($G18&lt;DayStart))&gt;0)+('Test Patient 2'!$B18=$F18)*($G18&lt;DayEnd)*($G18+VisitHrs/24&gt;DayStart)+('Test Patient 2'!$C18=$F18)*((($G18+VisitHrs/24&gt;DayEnd)+($G18&lt;DayStart))&gt;0)&gt;=1,1,0),0)</f>
        <v>0</v>
      </c>
      <c r="M18" s="12">
        <f t="shared" si="2"/>
        <v>0</v>
      </c>
      <c r="N18" s="12">
        <f t="shared" si="3"/>
        <v>0</v>
      </c>
      <c r="O18" s="12">
        <f t="shared" si="4"/>
        <v>0</v>
      </c>
    </row>
    <row r="19" spans="1:15" x14ac:dyDescent="0.2">
      <c r="A19" s="2">
        <f t="shared" si="5"/>
        <v>46225</v>
      </c>
      <c r="B19" s="19"/>
      <c r="C19" s="25"/>
      <c r="D19" s="19"/>
      <c r="E19" s="25"/>
      <c r="F19" s="19"/>
      <c r="G19" s="25"/>
      <c r="H19" s="12">
        <f t="shared" si="0"/>
        <v>1</v>
      </c>
      <c r="I19" s="12">
        <f t="shared" si="1"/>
        <v>0</v>
      </c>
      <c r="J19" s="12">
        <f>IF(AND($H19=1,$B19&lt;&gt;"",ISNUMBER($C19)),IF(((('Lucy Levene'!B19=$B19)*ISNUMBER('Lucy Levene'!C19)*(ABS('Lucy Levene'!C19-$C19)&lt;VisitHrs/24)+('Lucy Levene'!D19=$B19)*ISNUMBER('Lucy Levene'!E19)*(ABS('Lucy Levene'!E19-$C19)&lt;VisitHrs/24)+('Lucy Levene'!F19=$B19)*ISNUMBER('Lucy Levene'!G19)*(ABS('Lucy Levene'!G19-$C19)&lt;VisitHrs/24)+('Tom Bock'!B19=$B19)*ISNUMBER('Tom Bock'!C19)*(ABS('Tom Bock'!C19-$C19)&lt;VisitHrs/24)+('Tom Bock'!D19=$B19)*ISNUMBER('Tom Bock'!E19)*(ABS('Tom Bock'!E19-$C19)&lt;VisitHrs/24)+('Tom Bock'!F19=$B19)*ISNUMBER('Tom Bock'!G19)*(ABS('Tom Bock'!G19-$C19)&lt;VisitHrs/24)+(Jeremy!B19=$B19)*ISNUMBER(Jeremy!C19)*(ABS(Jeremy!C19-$C19)&lt;VisitHrs/24)+(Jeremy!D19=$B19)*ISNUMBER(Jeremy!E19)*(ABS(Jeremy!E19-$C19)&lt;VisitHrs/24)+(Jeremy!F19=$B19)*ISNUMBER(Jeremy!G19)*(ABS(Jeremy!G19-$C19)&lt;VisitHrs/24)+('Test Patient'!B19=$B19)*ISNUMBER('Test Patient'!C19)*(ABS('Test Patient'!C19-$C19)&lt;VisitHrs/24)+('Test Patient'!D19=$B19)*ISNUMBER('Test Patient'!E19)*(ABS('Test Patient'!E19-$C19)&lt;VisitHrs/24)+('Test Patient'!F19=$B19)*ISNUMBER('Test Patient'!G19)*(ABS('Test Patient'!G19-$C19)&lt;VisitHrs/24))-1)+('Anita Klesch'!$B19=$B19)*($C19&lt;DayEnd)*($C19+VisitHrs/24&gt;DayStart)+('Anita Klesch'!$C19=$B19)*((($C19+VisitHrs/24&gt;DayEnd)+($C19&lt;DayStart))&gt;0)+('Test Patient 2'!$B19=$B19)*($C19&lt;DayEnd)*($C19+VisitHrs/24&gt;DayStart)+('Test Patient 2'!$C19=$B19)*((($C19+VisitHrs/24&gt;DayEnd)+($C19&lt;DayStart))&gt;0)&gt;=1,1,0),0)</f>
        <v>0</v>
      </c>
      <c r="K19" s="12">
        <f>IF(AND($H19=1,$D19&lt;&gt;"",ISNUMBER($E19)),IF(((('Lucy Levene'!B19=$D19)*ISNUMBER('Lucy Levene'!C19)*(ABS('Lucy Levene'!C19-$E19)&lt;VisitHrs/24)+('Lucy Levene'!D19=$D19)*ISNUMBER('Lucy Levene'!E19)*(ABS('Lucy Levene'!E19-$E19)&lt;VisitHrs/24)+('Lucy Levene'!F19=$D19)*ISNUMBER('Lucy Levene'!G19)*(ABS('Lucy Levene'!G19-$E19)&lt;VisitHrs/24)+('Tom Bock'!B19=$D19)*ISNUMBER('Tom Bock'!C19)*(ABS('Tom Bock'!C19-$E19)&lt;VisitHrs/24)+('Tom Bock'!D19=$D19)*ISNUMBER('Tom Bock'!E19)*(ABS('Tom Bock'!E19-$E19)&lt;VisitHrs/24)+('Tom Bock'!F19=$D19)*ISNUMBER('Tom Bock'!G19)*(ABS('Tom Bock'!G19-$E19)&lt;VisitHrs/24)+(Jeremy!B19=$D19)*ISNUMBER(Jeremy!C19)*(ABS(Jeremy!C19-$E19)&lt;VisitHrs/24)+(Jeremy!D19=$D19)*ISNUMBER(Jeremy!E19)*(ABS(Jeremy!E19-$E19)&lt;VisitHrs/24)+(Jeremy!F19=$D19)*ISNUMBER(Jeremy!G19)*(ABS(Jeremy!G19-$E19)&lt;VisitHrs/24)+('Test Patient'!B19=$D19)*ISNUMBER('Test Patient'!C19)*(ABS('Test Patient'!C19-$E19)&lt;VisitHrs/24)+('Test Patient'!D19=$D19)*ISNUMBER('Test Patient'!E19)*(ABS('Test Patient'!E19-$E19)&lt;VisitHrs/24)+('Test Patient'!F19=$D19)*ISNUMBER('Test Patient'!G19)*(ABS('Test Patient'!G19-$E19)&lt;VisitHrs/24))-1)+('Anita Klesch'!$B19=$D19)*($E19&lt;DayEnd)*($E19+VisitHrs/24&gt;DayStart)+('Anita Klesch'!$C19=$D19)*((($E19+VisitHrs/24&gt;DayEnd)+($E19&lt;DayStart))&gt;0)+('Test Patient 2'!$B19=$D19)*($E19&lt;DayEnd)*($E19+VisitHrs/24&gt;DayStart)+('Test Patient 2'!$C19=$D19)*((($E19+VisitHrs/24&gt;DayEnd)+($E19&lt;DayStart))&gt;0)&gt;=1,1,0),0)</f>
        <v>0</v>
      </c>
      <c r="L19" s="12">
        <f>IF(AND($H19=1,$F19&lt;&gt;"",ISNUMBER($G19)),IF(((('Lucy Levene'!B19=$F19)*ISNUMBER('Lucy Levene'!C19)*(ABS('Lucy Levene'!C19-$G19)&lt;VisitHrs/24)+('Lucy Levene'!D19=$F19)*ISNUMBER('Lucy Levene'!E19)*(ABS('Lucy Levene'!E19-$G19)&lt;VisitHrs/24)+('Lucy Levene'!F19=$F19)*ISNUMBER('Lucy Levene'!G19)*(ABS('Lucy Levene'!G19-$G19)&lt;VisitHrs/24)+('Tom Bock'!B19=$F19)*ISNUMBER('Tom Bock'!C19)*(ABS('Tom Bock'!C19-$G19)&lt;VisitHrs/24)+('Tom Bock'!D19=$F19)*ISNUMBER('Tom Bock'!E19)*(ABS('Tom Bock'!E19-$G19)&lt;VisitHrs/24)+('Tom Bock'!F19=$F19)*ISNUMBER('Tom Bock'!G19)*(ABS('Tom Bock'!G19-$G19)&lt;VisitHrs/24)+(Jeremy!B19=$F19)*ISNUMBER(Jeremy!C19)*(ABS(Jeremy!C19-$G19)&lt;VisitHrs/24)+(Jeremy!D19=$F19)*ISNUMBER(Jeremy!E19)*(ABS(Jeremy!E19-$G19)&lt;VisitHrs/24)+(Jeremy!F19=$F19)*ISNUMBER(Jeremy!G19)*(ABS(Jeremy!G19-$G19)&lt;VisitHrs/24)+('Test Patient'!B19=$F19)*ISNUMBER('Test Patient'!C19)*(ABS('Test Patient'!C19-$G19)&lt;VisitHrs/24)+('Test Patient'!D19=$F19)*ISNUMBER('Test Patient'!E19)*(ABS('Test Patient'!E19-$G19)&lt;VisitHrs/24)+('Test Patient'!F19=$F19)*ISNUMBER('Test Patient'!G19)*(ABS('Test Patient'!G19-$G19)&lt;VisitHrs/24))-1)+('Anita Klesch'!$B19=$F19)*($G19&lt;DayEnd)*($G19+VisitHrs/24&gt;DayStart)+('Anita Klesch'!$C19=$F19)*((($G19+VisitHrs/24&gt;DayEnd)+($G19&lt;DayStart))&gt;0)+('Test Patient 2'!$B19=$F19)*($G19&lt;DayEnd)*($G19+VisitHrs/24&gt;DayStart)+('Test Patient 2'!$C19=$F19)*((($G19+VisitHrs/24&gt;DayEnd)+($G19&lt;DayStart))&gt;0)&gt;=1,1,0),0)</f>
        <v>0</v>
      </c>
      <c r="M19" s="12">
        <f t="shared" si="2"/>
        <v>0</v>
      </c>
      <c r="N19" s="12">
        <f t="shared" si="3"/>
        <v>0</v>
      </c>
      <c r="O19" s="12">
        <f t="shared" si="4"/>
        <v>0</v>
      </c>
    </row>
    <row r="20" spans="1:15" x14ac:dyDescent="0.2">
      <c r="A20" s="2">
        <f t="shared" si="5"/>
        <v>46226</v>
      </c>
      <c r="B20" s="19"/>
      <c r="C20" s="25"/>
      <c r="D20" s="19"/>
      <c r="E20" s="25"/>
      <c r="F20" s="19"/>
      <c r="G20" s="25"/>
      <c r="H20" s="12">
        <f t="shared" si="0"/>
        <v>1</v>
      </c>
      <c r="I20" s="12">
        <f t="shared" si="1"/>
        <v>0</v>
      </c>
      <c r="J20" s="12">
        <f>IF(AND($H20=1,$B20&lt;&gt;"",ISNUMBER($C20)),IF(((('Lucy Levene'!B20=$B20)*ISNUMBER('Lucy Levene'!C20)*(ABS('Lucy Levene'!C20-$C20)&lt;VisitHrs/24)+('Lucy Levene'!D20=$B20)*ISNUMBER('Lucy Levene'!E20)*(ABS('Lucy Levene'!E20-$C20)&lt;VisitHrs/24)+('Lucy Levene'!F20=$B20)*ISNUMBER('Lucy Levene'!G20)*(ABS('Lucy Levene'!G20-$C20)&lt;VisitHrs/24)+('Tom Bock'!B20=$B20)*ISNUMBER('Tom Bock'!C20)*(ABS('Tom Bock'!C20-$C20)&lt;VisitHrs/24)+('Tom Bock'!D20=$B20)*ISNUMBER('Tom Bock'!E20)*(ABS('Tom Bock'!E20-$C20)&lt;VisitHrs/24)+('Tom Bock'!F20=$B20)*ISNUMBER('Tom Bock'!G20)*(ABS('Tom Bock'!G20-$C20)&lt;VisitHrs/24)+(Jeremy!B20=$B20)*ISNUMBER(Jeremy!C20)*(ABS(Jeremy!C20-$C20)&lt;VisitHrs/24)+(Jeremy!D20=$B20)*ISNUMBER(Jeremy!E20)*(ABS(Jeremy!E20-$C20)&lt;VisitHrs/24)+(Jeremy!F20=$B20)*ISNUMBER(Jeremy!G20)*(ABS(Jeremy!G20-$C20)&lt;VisitHrs/24)+('Test Patient'!B20=$B20)*ISNUMBER('Test Patient'!C20)*(ABS('Test Patient'!C20-$C20)&lt;VisitHrs/24)+('Test Patient'!D20=$B20)*ISNUMBER('Test Patient'!E20)*(ABS('Test Patient'!E20-$C20)&lt;VisitHrs/24)+('Test Patient'!F20=$B20)*ISNUMBER('Test Patient'!G20)*(ABS('Test Patient'!G20-$C20)&lt;VisitHrs/24))-1)+('Anita Klesch'!$B20=$B20)*($C20&lt;DayEnd)*($C20+VisitHrs/24&gt;DayStart)+('Anita Klesch'!$C20=$B20)*((($C20+VisitHrs/24&gt;DayEnd)+($C20&lt;DayStart))&gt;0)+('Test Patient 2'!$B20=$B20)*($C20&lt;DayEnd)*($C20+VisitHrs/24&gt;DayStart)+('Test Patient 2'!$C20=$B20)*((($C20+VisitHrs/24&gt;DayEnd)+($C20&lt;DayStart))&gt;0)&gt;=1,1,0),0)</f>
        <v>0</v>
      </c>
      <c r="K20" s="12">
        <f>IF(AND($H20=1,$D20&lt;&gt;"",ISNUMBER($E20)),IF(((('Lucy Levene'!B20=$D20)*ISNUMBER('Lucy Levene'!C20)*(ABS('Lucy Levene'!C20-$E20)&lt;VisitHrs/24)+('Lucy Levene'!D20=$D20)*ISNUMBER('Lucy Levene'!E20)*(ABS('Lucy Levene'!E20-$E20)&lt;VisitHrs/24)+('Lucy Levene'!F20=$D20)*ISNUMBER('Lucy Levene'!G20)*(ABS('Lucy Levene'!G20-$E20)&lt;VisitHrs/24)+('Tom Bock'!B20=$D20)*ISNUMBER('Tom Bock'!C20)*(ABS('Tom Bock'!C20-$E20)&lt;VisitHrs/24)+('Tom Bock'!D20=$D20)*ISNUMBER('Tom Bock'!E20)*(ABS('Tom Bock'!E20-$E20)&lt;VisitHrs/24)+('Tom Bock'!F20=$D20)*ISNUMBER('Tom Bock'!G20)*(ABS('Tom Bock'!G20-$E20)&lt;VisitHrs/24)+(Jeremy!B20=$D20)*ISNUMBER(Jeremy!C20)*(ABS(Jeremy!C20-$E20)&lt;VisitHrs/24)+(Jeremy!D20=$D20)*ISNUMBER(Jeremy!E20)*(ABS(Jeremy!E20-$E20)&lt;VisitHrs/24)+(Jeremy!F20=$D20)*ISNUMBER(Jeremy!G20)*(ABS(Jeremy!G20-$E20)&lt;VisitHrs/24)+('Test Patient'!B20=$D20)*ISNUMBER('Test Patient'!C20)*(ABS('Test Patient'!C20-$E20)&lt;VisitHrs/24)+('Test Patient'!D20=$D20)*ISNUMBER('Test Patient'!E20)*(ABS('Test Patient'!E20-$E20)&lt;VisitHrs/24)+('Test Patient'!F20=$D20)*ISNUMBER('Test Patient'!G20)*(ABS('Test Patient'!G20-$E20)&lt;VisitHrs/24))-1)+('Anita Klesch'!$B20=$D20)*($E20&lt;DayEnd)*($E20+VisitHrs/24&gt;DayStart)+('Anita Klesch'!$C20=$D20)*((($E20+VisitHrs/24&gt;DayEnd)+($E20&lt;DayStart))&gt;0)+('Test Patient 2'!$B20=$D20)*($E20&lt;DayEnd)*($E20+VisitHrs/24&gt;DayStart)+('Test Patient 2'!$C20=$D20)*((($E20+VisitHrs/24&gt;DayEnd)+($E20&lt;DayStart))&gt;0)&gt;=1,1,0),0)</f>
        <v>0</v>
      </c>
      <c r="L20" s="12">
        <f>IF(AND($H20=1,$F20&lt;&gt;"",ISNUMBER($G20)),IF(((('Lucy Levene'!B20=$F20)*ISNUMBER('Lucy Levene'!C20)*(ABS('Lucy Levene'!C20-$G20)&lt;VisitHrs/24)+('Lucy Levene'!D20=$F20)*ISNUMBER('Lucy Levene'!E20)*(ABS('Lucy Levene'!E20-$G20)&lt;VisitHrs/24)+('Lucy Levene'!F20=$F20)*ISNUMBER('Lucy Levene'!G20)*(ABS('Lucy Levene'!G20-$G20)&lt;VisitHrs/24)+('Tom Bock'!B20=$F20)*ISNUMBER('Tom Bock'!C20)*(ABS('Tom Bock'!C20-$G20)&lt;VisitHrs/24)+('Tom Bock'!D20=$F20)*ISNUMBER('Tom Bock'!E20)*(ABS('Tom Bock'!E20-$G20)&lt;VisitHrs/24)+('Tom Bock'!F20=$F20)*ISNUMBER('Tom Bock'!G20)*(ABS('Tom Bock'!G20-$G20)&lt;VisitHrs/24)+(Jeremy!B20=$F20)*ISNUMBER(Jeremy!C20)*(ABS(Jeremy!C20-$G20)&lt;VisitHrs/24)+(Jeremy!D20=$F20)*ISNUMBER(Jeremy!E20)*(ABS(Jeremy!E20-$G20)&lt;VisitHrs/24)+(Jeremy!F20=$F20)*ISNUMBER(Jeremy!G20)*(ABS(Jeremy!G20-$G20)&lt;VisitHrs/24)+('Test Patient'!B20=$F20)*ISNUMBER('Test Patient'!C20)*(ABS('Test Patient'!C20-$G20)&lt;VisitHrs/24)+('Test Patient'!D20=$F20)*ISNUMBER('Test Patient'!E20)*(ABS('Test Patient'!E20-$G20)&lt;VisitHrs/24)+('Test Patient'!F20=$F20)*ISNUMBER('Test Patient'!G20)*(ABS('Test Patient'!G20-$G20)&lt;VisitHrs/24))-1)+('Anita Klesch'!$B20=$F20)*($G20&lt;DayEnd)*($G20+VisitHrs/24&gt;DayStart)+('Anita Klesch'!$C20=$F20)*((($G20+VisitHrs/24&gt;DayEnd)+($G20&lt;DayStart))&gt;0)+('Test Patient 2'!$B20=$F20)*($G20&lt;DayEnd)*($G20+VisitHrs/24&gt;DayStart)+('Test Patient 2'!$C20=$F20)*((($G20+VisitHrs/24&gt;DayEnd)+($G20&lt;DayStart))&gt;0)&gt;=1,1,0),0)</f>
        <v>0</v>
      </c>
      <c r="M20" s="12">
        <f t="shared" si="2"/>
        <v>0</v>
      </c>
      <c r="N20" s="12">
        <f t="shared" si="3"/>
        <v>0</v>
      </c>
      <c r="O20" s="12">
        <f t="shared" si="4"/>
        <v>0</v>
      </c>
    </row>
    <row r="21" spans="1:15" x14ac:dyDescent="0.2">
      <c r="A21" s="2">
        <f t="shared" si="5"/>
        <v>46227</v>
      </c>
      <c r="B21" s="19"/>
      <c r="C21" s="25"/>
      <c r="D21" s="19"/>
      <c r="E21" s="25"/>
      <c r="F21" s="19"/>
      <c r="G21" s="25"/>
      <c r="H21" s="12">
        <f t="shared" si="0"/>
        <v>1</v>
      </c>
      <c r="I21" s="12">
        <f t="shared" si="1"/>
        <v>0</v>
      </c>
      <c r="J21" s="12">
        <f>IF(AND($H21=1,$B21&lt;&gt;"",ISNUMBER($C21)),IF(((('Lucy Levene'!B21=$B21)*ISNUMBER('Lucy Levene'!C21)*(ABS('Lucy Levene'!C21-$C21)&lt;VisitHrs/24)+('Lucy Levene'!D21=$B21)*ISNUMBER('Lucy Levene'!E21)*(ABS('Lucy Levene'!E21-$C21)&lt;VisitHrs/24)+('Lucy Levene'!F21=$B21)*ISNUMBER('Lucy Levene'!G21)*(ABS('Lucy Levene'!G21-$C21)&lt;VisitHrs/24)+('Tom Bock'!B21=$B21)*ISNUMBER('Tom Bock'!C21)*(ABS('Tom Bock'!C21-$C21)&lt;VisitHrs/24)+('Tom Bock'!D21=$B21)*ISNUMBER('Tom Bock'!E21)*(ABS('Tom Bock'!E21-$C21)&lt;VisitHrs/24)+('Tom Bock'!F21=$B21)*ISNUMBER('Tom Bock'!G21)*(ABS('Tom Bock'!G21-$C21)&lt;VisitHrs/24)+(Jeremy!B21=$B21)*ISNUMBER(Jeremy!C21)*(ABS(Jeremy!C21-$C21)&lt;VisitHrs/24)+(Jeremy!D21=$B21)*ISNUMBER(Jeremy!E21)*(ABS(Jeremy!E21-$C21)&lt;VisitHrs/24)+(Jeremy!F21=$B21)*ISNUMBER(Jeremy!G21)*(ABS(Jeremy!G21-$C21)&lt;VisitHrs/24)+('Test Patient'!B21=$B21)*ISNUMBER('Test Patient'!C21)*(ABS('Test Patient'!C21-$C21)&lt;VisitHrs/24)+('Test Patient'!D21=$B21)*ISNUMBER('Test Patient'!E21)*(ABS('Test Patient'!E21-$C21)&lt;VisitHrs/24)+('Test Patient'!F21=$B21)*ISNUMBER('Test Patient'!G21)*(ABS('Test Patient'!G21-$C21)&lt;VisitHrs/24))-1)+('Anita Klesch'!$B21=$B21)*($C21&lt;DayEnd)*($C21+VisitHrs/24&gt;DayStart)+('Anita Klesch'!$C21=$B21)*((($C21+VisitHrs/24&gt;DayEnd)+($C21&lt;DayStart))&gt;0)+('Test Patient 2'!$B21=$B21)*($C21&lt;DayEnd)*($C21+VisitHrs/24&gt;DayStart)+('Test Patient 2'!$C21=$B21)*((($C21+VisitHrs/24&gt;DayEnd)+($C21&lt;DayStart))&gt;0)&gt;=1,1,0),0)</f>
        <v>0</v>
      </c>
      <c r="K21" s="12">
        <f>IF(AND($H21=1,$D21&lt;&gt;"",ISNUMBER($E21)),IF(((('Lucy Levene'!B21=$D21)*ISNUMBER('Lucy Levene'!C21)*(ABS('Lucy Levene'!C21-$E21)&lt;VisitHrs/24)+('Lucy Levene'!D21=$D21)*ISNUMBER('Lucy Levene'!E21)*(ABS('Lucy Levene'!E21-$E21)&lt;VisitHrs/24)+('Lucy Levene'!F21=$D21)*ISNUMBER('Lucy Levene'!G21)*(ABS('Lucy Levene'!G21-$E21)&lt;VisitHrs/24)+('Tom Bock'!B21=$D21)*ISNUMBER('Tom Bock'!C21)*(ABS('Tom Bock'!C21-$E21)&lt;VisitHrs/24)+('Tom Bock'!D21=$D21)*ISNUMBER('Tom Bock'!E21)*(ABS('Tom Bock'!E21-$E21)&lt;VisitHrs/24)+('Tom Bock'!F21=$D21)*ISNUMBER('Tom Bock'!G21)*(ABS('Tom Bock'!G21-$E21)&lt;VisitHrs/24)+(Jeremy!B21=$D21)*ISNUMBER(Jeremy!C21)*(ABS(Jeremy!C21-$E21)&lt;VisitHrs/24)+(Jeremy!D21=$D21)*ISNUMBER(Jeremy!E21)*(ABS(Jeremy!E21-$E21)&lt;VisitHrs/24)+(Jeremy!F21=$D21)*ISNUMBER(Jeremy!G21)*(ABS(Jeremy!G21-$E21)&lt;VisitHrs/24)+('Test Patient'!B21=$D21)*ISNUMBER('Test Patient'!C21)*(ABS('Test Patient'!C21-$E21)&lt;VisitHrs/24)+('Test Patient'!D21=$D21)*ISNUMBER('Test Patient'!E21)*(ABS('Test Patient'!E21-$E21)&lt;VisitHrs/24)+('Test Patient'!F21=$D21)*ISNUMBER('Test Patient'!G21)*(ABS('Test Patient'!G21-$E21)&lt;VisitHrs/24))-1)+('Anita Klesch'!$B21=$D21)*($E21&lt;DayEnd)*($E21+VisitHrs/24&gt;DayStart)+('Anita Klesch'!$C21=$D21)*((($E21+VisitHrs/24&gt;DayEnd)+($E21&lt;DayStart))&gt;0)+('Test Patient 2'!$B21=$D21)*($E21&lt;DayEnd)*($E21+VisitHrs/24&gt;DayStart)+('Test Patient 2'!$C21=$D21)*((($E21+VisitHrs/24&gt;DayEnd)+($E21&lt;DayStart))&gt;0)&gt;=1,1,0),0)</f>
        <v>0</v>
      </c>
      <c r="L21" s="12">
        <f>IF(AND($H21=1,$F21&lt;&gt;"",ISNUMBER($G21)),IF(((('Lucy Levene'!B21=$F21)*ISNUMBER('Lucy Levene'!C21)*(ABS('Lucy Levene'!C21-$G21)&lt;VisitHrs/24)+('Lucy Levene'!D21=$F21)*ISNUMBER('Lucy Levene'!E21)*(ABS('Lucy Levene'!E21-$G21)&lt;VisitHrs/24)+('Lucy Levene'!F21=$F21)*ISNUMBER('Lucy Levene'!G21)*(ABS('Lucy Levene'!G21-$G21)&lt;VisitHrs/24)+('Tom Bock'!B21=$F21)*ISNUMBER('Tom Bock'!C21)*(ABS('Tom Bock'!C21-$G21)&lt;VisitHrs/24)+('Tom Bock'!D21=$F21)*ISNUMBER('Tom Bock'!E21)*(ABS('Tom Bock'!E21-$G21)&lt;VisitHrs/24)+('Tom Bock'!F21=$F21)*ISNUMBER('Tom Bock'!G21)*(ABS('Tom Bock'!G21-$G21)&lt;VisitHrs/24)+(Jeremy!B21=$F21)*ISNUMBER(Jeremy!C21)*(ABS(Jeremy!C21-$G21)&lt;VisitHrs/24)+(Jeremy!D21=$F21)*ISNUMBER(Jeremy!E21)*(ABS(Jeremy!E21-$G21)&lt;VisitHrs/24)+(Jeremy!F21=$F21)*ISNUMBER(Jeremy!G21)*(ABS(Jeremy!G21-$G21)&lt;VisitHrs/24)+('Test Patient'!B21=$F21)*ISNUMBER('Test Patient'!C21)*(ABS('Test Patient'!C21-$G21)&lt;VisitHrs/24)+('Test Patient'!D21=$F21)*ISNUMBER('Test Patient'!E21)*(ABS('Test Patient'!E21-$G21)&lt;VisitHrs/24)+('Test Patient'!F21=$F21)*ISNUMBER('Test Patient'!G21)*(ABS('Test Patient'!G21-$G21)&lt;VisitHrs/24))-1)+('Anita Klesch'!$B21=$F21)*($G21&lt;DayEnd)*($G21+VisitHrs/24&gt;DayStart)+('Anita Klesch'!$C21=$F21)*((($G21+VisitHrs/24&gt;DayEnd)+($G21&lt;DayStart))&gt;0)+('Test Patient 2'!$B21=$F21)*($G21&lt;DayEnd)*($G21+VisitHrs/24&gt;DayStart)+('Test Patient 2'!$C21=$F21)*((($G21+VisitHrs/24&gt;DayEnd)+($G21&lt;DayStart))&gt;0)&gt;=1,1,0),0)</f>
        <v>0</v>
      </c>
      <c r="M21" s="12">
        <f t="shared" si="2"/>
        <v>0</v>
      </c>
      <c r="N21" s="12">
        <f t="shared" si="3"/>
        <v>0</v>
      </c>
      <c r="O21" s="12">
        <f t="shared" si="4"/>
        <v>0</v>
      </c>
    </row>
    <row r="22" spans="1:15" x14ac:dyDescent="0.2">
      <c r="A22" s="2">
        <f t="shared" si="5"/>
        <v>46228</v>
      </c>
      <c r="B22" s="19"/>
      <c r="C22" s="25"/>
      <c r="D22" s="19"/>
      <c r="E22" s="25"/>
      <c r="F22" s="19"/>
      <c r="G22" s="25"/>
      <c r="H22" s="12">
        <f t="shared" si="0"/>
        <v>1</v>
      </c>
      <c r="I22" s="12">
        <f t="shared" si="1"/>
        <v>0</v>
      </c>
      <c r="J22" s="12">
        <f>IF(AND($H22=1,$B22&lt;&gt;"",ISNUMBER($C22)),IF(((('Lucy Levene'!B22=$B22)*ISNUMBER('Lucy Levene'!C22)*(ABS('Lucy Levene'!C22-$C22)&lt;VisitHrs/24)+('Lucy Levene'!D22=$B22)*ISNUMBER('Lucy Levene'!E22)*(ABS('Lucy Levene'!E22-$C22)&lt;VisitHrs/24)+('Lucy Levene'!F22=$B22)*ISNUMBER('Lucy Levene'!G22)*(ABS('Lucy Levene'!G22-$C22)&lt;VisitHrs/24)+('Tom Bock'!B22=$B22)*ISNUMBER('Tom Bock'!C22)*(ABS('Tom Bock'!C22-$C22)&lt;VisitHrs/24)+('Tom Bock'!D22=$B22)*ISNUMBER('Tom Bock'!E22)*(ABS('Tom Bock'!E22-$C22)&lt;VisitHrs/24)+('Tom Bock'!F22=$B22)*ISNUMBER('Tom Bock'!G22)*(ABS('Tom Bock'!G22-$C22)&lt;VisitHrs/24)+(Jeremy!B22=$B22)*ISNUMBER(Jeremy!C22)*(ABS(Jeremy!C22-$C22)&lt;VisitHrs/24)+(Jeremy!D22=$B22)*ISNUMBER(Jeremy!E22)*(ABS(Jeremy!E22-$C22)&lt;VisitHrs/24)+(Jeremy!F22=$B22)*ISNUMBER(Jeremy!G22)*(ABS(Jeremy!G22-$C22)&lt;VisitHrs/24)+('Test Patient'!B22=$B22)*ISNUMBER('Test Patient'!C22)*(ABS('Test Patient'!C22-$C22)&lt;VisitHrs/24)+('Test Patient'!D22=$B22)*ISNUMBER('Test Patient'!E22)*(ABS('Test Patient'!E22-$C22)&lt;VisitHrs/24)+('Test Patient'!F22=$B22)*ISNUMBER('Test Patient'!G22)*(ABS('Test Patient'!G22-$C22)&lt;VisitHrs/24))-1)+('Anita Klesch'!$B22=$B22)*($C22&lt;DayEnd)*($C22+VisitHrs/24&gt;DayStart)+('Anita Klesch'!$C22=$B22)*((($C22+VisitHrs/24&gt;DayEnd)+($C22&lt;DayStart))&gt;0)+('Test Patient 2'!$B22=$B22)*($C22&lt;DayEnd)*($C22+VisitHrs/24&gt;DayStart)+('Test Patient 2'!$C22=$B22)*((($C22+VisitHrs/24&gt;DayEnd)+($C22&lt;DayStart))&gt;0)&gt;=1,1,0),0)</f>
        <v>0</v>
      </c>
      <c r="K22" s="12">
        <f>IF(AND($H22=1,$D22&lt;&gt;"",ISNUMBER($E22)),IF(((('Lucy Levene'!B22=$D22)*ISNUMBER('Lucy Levene'!C22)*(ABS('Lucy Levene'!C22-$E22)&lt;VisitHrs/24)+('Lucy Levene'!D22=$D22)*ISNUMBER('Lucy Levene'!E22)*(ABS('Lucy Levene'!E22-$E22)&lt;VisitHrs/24)+('Lucy Levene'!F22=$D22)*ISNUMBER('Lucy Levene'!G22)*(ABS('Lucy Levene'!G22-$E22)&lt;VisitHrs/24)+('Tom Bock'!B22=$D22)*ISNUMBER('Tom Bock'!C22)*(ABS('Tom Bock'!C22-$E22)&lt;VisitHrs/24)+('Tom Bock'!D22=$D22)*ISNUMBER('Tom Bock'!E22)*(ABS('Tom Bock'!E22-$E22)&lt;VisitHrs/24)+('Tom Bock'!F22=$D22)*ISNUMBER('Tom Bock'!G22)*(ABS('Tom Bock'!G22-$E22)&lt;VisitHrs/24)+(Jeremy!B22=$D22)*ISNUMBER(Jeremy!C22)*(ABS(Jeremy!C22-$E22)&lt;VisitHrs/24)+(Jeremy!D22=$D22)*ISNUMBER(Jeremy!E22)*(ABS(Jeremy!E22-$E22)&lt;VisitHrs/24)+(Jeremy!F22=$D22)*ISNUMBER(Jeremy!G22)*(ABS(Jeremy!G22-$E22)&lt;VisitHrs/24)+('Test Patient'!B22=$D22)*ISNUMBER('Test Patient'!C22)*(ABS('Test Patient'!C22-$E22)&lt;VisitHrs/24)+('Test Patient'!D22=$D22)*ISNUMBER('Test Patient'!E22)*(ABS('Test Patient'!E22-$E22)&lt;VisitHrs/24)+('Test Patient'!F22=$D22)*ISNUMBER('Test Patient'!G22)*(ABS('Test Patient'!G22-$E22)&lt;VisitHrs/24))-1)+('Anita Klesch'!$B22=$D22)*($E22&lt;DayEnd)*($E22+VisitHrs/24&gt;DayStart)+('Anita Klesch'!$C22=$D22)*((($E22+VisitHrs/24&gt;DayEnd)+($E22&lt;DayStart))&gt;0)+('Test Patient 2'!$B22=$D22)*($E22&lt;DayEnd)*($E22+VisitHrs/24&gt;DayStart)+('Test Patient 2'!$C22=$D22)*((($E22+VisitHrs/24&gt;DayEnd)+($E22&lt;DayStart))&gt;0)&gt;=1,1,0),0)</f>
        <v>0</v>
      </c>
      <c r="L22" s="12">
        <f>IF(AND($H22=1,$F22&lt;&gt;"",ISNUMBER($G22)),IF(((('Lucy Levene'!B22=$F22)*ISNUMBER('Lucy Levene'!C22)*(ABS('Lucy Levene'!C22-$G22)&lt;VisitHrs/24)+('Lucy Levene'!D22=$F22)*ISNUMBER('Lucy Levene'!E22)*(ABS('Lucy Levene'!E22-$G22)&lt;VisitHrs/24)+('Lucy Levene'!F22=$F22)*ISNUMBER('Lucy Levene'!G22)*(ABS('Lucy Levene'!G22-$G22)&lt;VisitHrs/24)+('Tom Bock'!B22=$F22)*ISNUMBER('Tom Bock'!C22)*(ABS('Tom Bock'!C22-$G22)&lt;VisitHrs/24)+('Tom Bock'!D22=$F22)*ISNUMBER('Tom Bock'!E22)*(ABS('Tom Bock'!E22-$G22)&lt;VisitHrs/24)+('Tom Bock'!F22=$F22)*ISNUMBER('Tom Bock'!G22)*(ABS('Tom Bock'!G22-$G22)&lt;VisitHrs/24)+(Jeremy!B22=$F22)*ISNUMBER(Jeremy!C22)*(ABS(Jeremy!C22-$G22)&lt;VisitHrs/24)+(Jeremy!D22=$F22)*ISNUMBER(Jeremy!E22)*(ABS(Jeremy!E22-$G22)&lt;VisitHrs/24)+(Jeremy!F22=$F22)*ISNUMBER(Jeremy!G22)*(ABS(Jeremy!G22-$G22)&lt;VisitHrs/24)+('Test Patient'!B22=$F22)*ISNUMBER('Test Patient'!C22)*(ABS('Test Patient'!C22-$G22)&lt;VisitHrs/24)+('Test Patient'!D22=$F22)*ISNUMBER('Test Patient'!E22)*(ABS('Test Patient'!E22-$G22)&lt;VisitHrs/24)+('Test Patient'!F22=$F22)*ISNUMBER('Test Patient'!G22)*(ABS('Test Patient'!G22-$G22)&lt;VisitHrs/24))-1)+('Anita Klesch'!$B22=$F22)*($G22&lt;DayEnd)*($G22+VisitHrs/24&gt;DayStart)+('Anita Klesch'!$C22=$F22)*((($G22+VisitHrs/24&gt;DayEnd)+($G22&lt;DayStart))&gt;0)+('Test Patient 2'!$B22=$F22)*($G22&lt;DayEnd)*($G22+VisitHrs/24&gt;DayStart)+('Test Patient 2'!$C22=$F22)*((($G22+VisitHrs/24&gt;DayEnd)+($G22&lt;DayStart))&gt;0)&gt;=1,1,0),0)</f>
        <v>0</v>
      </c>
      <c r="M22" s="12">
        <f t="shared" si="2"/>
        <v>0</v>
      </c>
      <c r="N22" s="12">
        <f t="shared" si="3"/>
        <v>0</v>
      </c>
      <c r="O22" s="12">
        <f t="shared" si="4"/>
        <v>0</v>
      </c>
    </row>
    <row r="23" spans="1:15" x14ac:dyDescent="0.2">
      <c r="A23" s="2">
        <f t="shared" si="5"/>
        <v>46229</v>
      </c>
      <c r="B23" s="19"/>
      <c r="C23" s="25"/>
      <c r="D23" s="19"/>
      <c r="E23" s="25"/>
      <c r="F23" s="19"/>
      <c r="G23" s="25"/>
      <c r="H23" s="12">
        <f t="shared" si="0"/>
        <v>1</v>
      </c>
      <c r="I23" s="12">
        <f t="shared" si="1"/>
        <v>0</v>
      </c>
      <c r="J23" s="12">
        <f>IF(AND($H23=1,$B23&lt;&gt;"",ISNUMBER($C23)),IF(((('Lucy Levene'!B23=$B23)*ISNUMBER('Lucy Levene'!C23)*(ABS('Lucy Levene'!C23-$C23)&lt;VisitHrs/24)+('Lucy Levene'!D23=$B23)*ISNUMBER('Lucy Levene'!E23)*(ABS('Lucy Levene'!E23-$C23)&lt;VisitHrs/24)+('Lucy Levene'!F23=$B23)*ISNUMBER('Lucy Levene'!G23)*(ABS('Lucy Levene'!G23-$C23)&lt;VisitHrs/24)+('Tom Bock'!B23=$B23)*ISNUMBER('Tom Bock'!C23)*(ABS('Tom Bock'!C23-$C23)&lt;VisitHrs/24)+('Tom Bock'!D23=$B23)*ISNUMBER('Tom Bock'!E23)*(ABS('Tom Bock'!E23-$C23)&lt;VisitHrs/24)+('Tom Bock'!F23=$B23)*ISNUMBER('Tom Bock'!G23)*(ABS('Tom Bock'!G23-$C23)&lt;VisitHrs/24)+(Jeremy!B23=$B23)*ISNUMBER(Jeremy!C23)*(ABS(Jeremy!C23-$C23)&lt;VisitHrs/24)+(Jeremy!D23=$B23)*ISNUMBER(Jeremy!E23)*(ABS(Jeremy!E23-$C23)&lt;VisitHrs/24)+(Jeremy!F23=$B23)*ISNUMBER(Jeremy!G23)*(ABS(Jeremy!G23-$C23)&lt;VisitHrs/24)+('Test Patient'!B23=$B23)*ISNUMBER('Test Patient'!C23)*(ABS('Test Patient'!C23-$C23)&lt;VisitHrs/24)+('Test Patient'!D23=$B23)*ISNUMBER('Test Patient'!E23)*(ABS('Test Patient'!E23-$C23)&lt;VisitHrs/24)+('Test Patient'!F23=$B23)*ISNUMBER('Test Patient'!G23)*(ABS('Test Patient'!G23-$C23)&lt;VisitHrs/24))-1)+('Anita Klesch'!$B23=$B23)*($C23&lt;DayEnd)*($C23+VisitHrs/24&gt;DayStart)+('Anita Klesch'!$C23=$B23)*((($C23+VisitHrs/24&gt;DayEnd)+($C23&lt;DayStart))&gt;0)+('Test Patient 2'!$B23=$B23)*($C23&lt;DayEnd)*($C23+VisitHrs/24&gt;DayStart)+('Test Patient 2'!$C23=$B23)*((($C23+VisitHrs/24&gt;DayEnd)+($C23&lt;DayStart))&gt;0)&gt;=1,1,0),0)</f>
        <v>0</v>
      </c>
      <c r="K23" s="12">
        <f>IF(AND($H23=1,$D23&lt;&gt;"",ISNUMBER($E23)),IF(((('Lucy Levene'!B23=$D23)*ISNUMBER('Lucy Levene'!C23)*(ABS('Lucy Levene'!C23-$E23)&lt;VisitHrs/24)+('Lucy Levene'!D23=$D23)*ISNUMBER('Lucy Levene'!E23)*(ABS('Lucy Levene'!E23-$E23)&lt;VisitHrs/24)+('Lucy Levene'!F23=$D23)*ISNUMBER('Lucy Levene'!G23)*(ABS('Lucy Levene'!G23-$E23)&lt;VisitHrs/24)+('Tom Bock'!B23=$D23)*ISNUMBER('Tom Bock'!C23)*(ABS('Tom Bock'!C23-$E23)&lt;VisitHrs/24)+('Tom Bock'!D23=$D23)*ISNUMBER('Tom Bock'!E23)*(ABS('Tom Bock'!E23-$E23)&lt;VisitHrs/24)+('Tom Bock'!F23=$D23)*ISNUMBER('Tom Bock'!G23)*(ABS('Tom Bock'!G23-$E23)&lt;VisitHrs/24)+(Jeremy!B23=$D23)*ISNUMBER(Jeremy!C23)*(ABS(Jeremy!C23-$E23)&lt;VisitHrs/24)+(Jeremy!D23=$D23)*ISNUMBER(Jeremy!E23)*(ABS(Jeremy!E23-$E23)&lt;VisitHrs/24)+(Jeremy!F23=$D23)*ISNUMBER(Jeremy!G23)*(ABS(Jeremy!G23-$E23)&lt;VisitHrs/24)+('Test Patient'!B23=$D23)*ISNUMBER('Test Patient'!C23)*(ABS('Test Patient'!C23-$E23)&lt;VisitHrs/24)+('Test Patient'!D23=$D23)*ISNUMBER('Test Patient'!E23)*(ABS('Test Patient'!E23-$E23)&lt;VisitHrs/24)+('Test Patient'!F23=$D23)*ISNUMBER('Test Patient'!G23)*(ABS('Test Patient'!G23-$E23)&lt;VisitHrs/24))-1)+('Anita Klesch'!$B23=$D23)*($E23&lt;DayEnd)*($E23+VisitHrs/24&gt;DayStart)+('Anita Klesch'!$C23=$D23)*((($E23+VisitHrs/24&gt;DayEnd)+($E23&lt;DayStart))&gt;0)+('Test Patient 2'!$B23=$D23)*($E23&lt;DayEnd)*($E23+VisitHrs/24&gt;DayStart)+('Test Patient 2'!$C23=$D23)*((($E23+VisitHrs/24&gt;DayEnd)+($E23&lt;DayStart))&gt;0)&gt;=1,1,0),0)</f>
        <v>0</v>
      </c>
      <c r="L23" s="12">
        <f>IF(AND($H23=1,$F23&lt;&gt;"",ISNUMBER($G23)),IF(((('Lucy Levene'!B23=$F23)*ISNUMBER('Lucy Levene'!C23)*(ABS('Lucy Levene'!C23-$G23)&lt;VisitHrs/24)+('Lucy Levene'!D23=$F23)*ISNUMBER('Lucy Levene'!E23)*(ABS('Lucy Levene'!E23-$G23)&lt;VisitHrs/24)+('Lucy Levene'!F23=$F23)*ISNUMBER('Lucy Levene'!G23)*(ABS('Lucy Levene'!G23-$G23)&lt;VisitHrs/24)+('Tom Bock'!B23=$F23)*ISNUMBER('Tom Bock'!C23)*(ABS('Tom Bock'!C23-$G23)&lt;VisitHrs/24)+('Tom Bock'!D23=$F23)*ISNUMBER('Tom Bock'!E23)*(ABS('Tom Bock'!E23-$G23)&lt;VisitHrs/24)+('Tom Bock'!F23=$F23)*ISNUMBER('Tom Bock'!G23)*(ABS('Tom Bock'!G23-$G23)&lt;VisitHrs/24)+(Jeremy!B23=$F23)*ISNUMBER(Jeremy!C23)*(ABS(Jeremy!C23-$G23)&lt;VisitHrs/24)+(Jeremy!D23=$F23)*ISNUMBER(Jeremy!E23)*(ABS(Jeremy!E23-$G23)&lt;VisitHrs/24)+(Jeremy!F23=$F23)*ISNUMBER(Jeremy!G23)*(ABS(Jeremy!G23-$G23)&lt;VisitHrs/24)+('Test Patient'!B23=$F23)*ISNUMBER('Test Patient'!C23)*(ABS('Test Patient'!C23-$G23)&lt;VisitHrs/24)+('Test Patient'!D23=$F23)*ISNUMBER('Test Patient'!E23)*(ABS('Test Patient'!E23-$G23)&lt;VisitHrs/24)+('Test Patient'!F23=$F23)*ISNUMBER('Test Patient'!G23)*(ABS('Test Patient'!G23-$G23)&lt;VisitHrs/24))-1)+('Anita Klesch'!$B23=$F23)*($G23&lt;DayEnd)*($G23+VisitHrs/24&gt;DayStart)+('Anita Klesch'!$C23=$F23)*((($G23+VisitHrs/24&gt;DayEnd)+($G23&lt;DayStart))&gt;0)+('Test Patient 2'!$B23=$F23)*($G23&lt;DayEnd)*($G23+VisitHrs/24&gt;DayStart)+('Test Patient 2'!$C23=$F23)*((($G23+VisitHrs/24&gt;DayEnd)+($G23&lt;DayStart))&gt;0)&gt;=1,1,0),0)</f>
        <v>0</v>
      </c>
      <c r="M23" s="12">
        <f t="shared" si="2"/>
        <v>0</v>
      </c>
      <c r="N23" s="12">
        <f t="shared" si="3"/>
        <v>0</v>
      </c>
      <c r="O23" s="12">
        <f t="shared" si="4"/>
        <v>0</v>
      </c>
    </row>
    <row r="24" spans="1:15" x14ac:dyDescent="0.2">
      <c r="A24" s="2">
        <f t="shared" si="5"/>
        <v>46230</v>
      </c>
      <c r="B24" s="19"/>
      <c r="C24" s="25"/>
      <c r="D24" s="19"/>
      <c r="E24" s="25"/>
      <c r="F24" s="19"/>
      <c r="G24" s="25"/>
      <c r="H24" s="12">
        <f t="shared" si="0"/>
        <v>1</v>
      </c>
      <c r="I24" s="12">
        <f t="shared" si="1"/>
        <v>0</v>
      </c>
      <c r="J24" s="12">
        <f>IF(AND($H24=1,$B24&lt;&gt;"",ISNUMBER($C24)),IF(((('Lucy Levene'!B24=$B24)*ISNUMBER('Lucy Levene'!C24)*(ABS('Lucy Levene'!C24-$C24)&lt;VisitHrs/24)+('Lucy Levene'!D24=$B24)*ISNUMBER('Lucy Levene'!E24)*(ABS('Lucy Levene'!E24-$C24)&lt;VisitHrs/24)+('Lucy Levene'!F24=$B24)*ISNUMBER('Lucy Levene'!G24)*(ABS('Lucy Levene'!G24-$C24)&lt;VisitHrs/24)+('Tom Bock'!B24=$B24)*ISNUMBER('Tom Bock'!C24)*(ABS('Tom Bock'!C24-$C24)&lt;VisitHrs/24)+('Tom Bock'!D24=$B24)*ISNUMBER('Tom Bock'!E24)*(ABS('Tom Bock'!E24-$C24)&lt;VisitHrs/24)+('Tom Bock'!F24=$B24)*ISNUMBER('Tom Bock'!G24)*(ABS('Tom Bock'!G24-$C24)&lt;VisitHrs/24)+(Jeremy!B24=$B24)*ISNUMBER(Jeremy!C24)*(ABS(Jeremy!C24-$C24)&lt;VisitHrs/24)+(Jeremy!D24=$B24)*ISNUMBER(Jeremy!E24)*(ABS(Jeremy!E24-$C24)&lt;VisitHrs/24)+(Jeremy!F24=$B24)*ISNUMBER(Jeremy!G24)*(ABS(Jeremy!G24-$C24)&lt;VisitHrs/24)+('Test Patient'!B24=$B24)*ISNUMBER('Test Patient'!C24)*(ABS('Test Patient'!C24-$C24)&lt;VisitHrs/24)+('Test Patient'!D24=$B24)*ISNUMBER('Test Patient'!E24)*(ABS('Test Patient'!E24-$C24)&lt;VisitHrs/24)+('Test Patient'!F24=$B24)*ISNUMBER('Test Patient'!G24)*(ABS('Test Patient'!G24-$C24)&lt;VisitHrs/24))-1)+('Anita Klesch'!$B24=$B24)*($C24&lt;DayEnd)*($C24+VisitHrs/24&gt;DayStart)+('Anita Klesch'!$C24=$B24)*((($C24+VisitHrs/24&gt;DayEnd)+($C24&lt;DayStart))&gt;0)+('Test Patient 2'!$B24=$B24)*($C24&lt;DayEnd)*($C24+VisitHrs/24&gt;DayStart)+('Test Patient 2'!$C24=$B24)*((($C24+VisitHrs/24&gt;DayEnd)+($C24&lt;DayStart))&gt;0)&gt;=1,1,0),0)</f>
        <v>0</v>
      </c>
      <c r="K24" s="12">
        <f>IF(AND($H24=1,$D24&lt;&gt;"",ISNUMBER($E24)),IF(((('Lucy Levene'!B24=$D24)*ISNUMBER('Lucy Levene'!C24)*(ABS('Lucy Levene'!C24-$E24)&lt;VisitHrs/24)+('Lucy Levene'!D24=$D24)*ISNUMBER('Lucy Levene'!E24)*(ABS('Lucy Levene'!E24-$E24)&lt;VisitHrs/24)+('Lucy Levene'!F24=$D24)*ISNUMBER('Lucy Levene'!G24)*(ABS('Lucy Levene'!G24-$E24)&lt;VisitHrs/24)+('Tom Bock'!B24=$D24)*ISNUMBER('Tom Bock'!C24)*(ABS('Tom Bock'!C24-$E24)&lt;VisitHrs/24)+('Tom Bock'!D24=$D24)*ISNUMBER('Tom Bock'!E24)*(ABS('Tom Bock'!E24-$E24)&lt;VisitHrs/24)+('Tom Bock'!F24=$D24)*ISNUMBER('Tom Bock'!G24)*(ABS('Tom Bock'!G24-$E24)&lt;VisitHrs/24)+(Jeremy!B24=$D24)*ISNUMBER(Jeremy!C24)*(ABS(Jeremy!C24-$E24)&lt;VisitHrs/24)+(Jeremy!D24=$D24)*ISNUMBER(Jeremy!E24)*(ABS(Jeremy!E24-$E24)&lt;VisitHrs/24)+(Jeremy!F24=$D24)*ISNUMBER(Jeremy!G24)*(ABS(Jeremy!G24-$E24)&lt;VisitHrs/24)+('Test Patient'!B24=$D24)*ISNUMBER('Test Patient'!C24)*(ABS('Test Patient'!C24-$E24)&lt;VisitHrs/24)+('Test Patient'!D24=$D24)*ISNUMBER('Test Patient'!E24)*(ABS('Test Patient'!E24-$E24)&lt;VisitHrs/24)+('Test Patient'!F24=$D24)*ISNUMBER('Test Patient'!G24)*(ABS('Test Patient'!G24-$E24)&lt;VisitHrs/24))-1)+('Anita Klesch'!$B24=$D24)*($E24&lt;DayEnd)*($E24+VisitHrs/24&gt;DayStart)+('Anita Klesch'!$C24=$D24)*((($E24+VisitHrs/24&gt;DayEnd)+($E24&lt;DayStart))&gt;0)+('Test Patient 2'!$B24=$D24)*($E24&lt;DayEnd)*($E24+VisitHrs/24&gt;DayStart)+('Test Patient 2'!$C24=$D24)*((($E24+VisitHrs/24&gt;DayEnd)+($E24&lt;DayStart))&gt;0)&gt;=1,1,0),0)</f>
        <v>0</v>
      </c>
      <c r="L24" s="12">
        <f>IF(AND($H24=1,$F24&lt;&gt;"",ISNUMBER($G24)),IF(((('Lucy Levene'!B24=$F24)*ISNUMBER('Lucy Levene'!C24)*(ABS('Lucy Levene'!C24-$G24)&lt;VisitHrs/24)+('Lucy Levene'!D24=$F24)*ISNUMBER('Lucy Levene'!E24)*(ABS('Lucy Levene'!E24-$G24)&lt;VisitHrs/24)+('Lucy Levene'!F24=$F24)*ISNUMBER('Lucy Levene'!G24)*(ABS('Lucy Levene'!G24-$G24)&lt;VisitHrs/24)+('Tom Bock'!B24=$F24)*ISNUMBER('Tom Bock'!C24)*(ABS('Tom Bock'!C24-$G24)&lt;VisitHrs/24)+('Tom Bock'!D24=$F24)*ISNUMBER('Tom Bock'!E24)*(ABS('Tom Bock'!E24-$G24)&lt;VisitHrs/24)+('Tom Bock'!F24=$F24)*ISNUMBER('Tom Bock'!G24)*(ABS('Tom Bock'!G24-$G24)&lt;VisitHrs/24)+(Jeremy!B24=$F24)*ISNUMBER(Jeremy!C24)*(ABS(Jeremy!C24-$G24)&lt;VisitHrs/24)+(Jeremy!D24=$F24)*ISNUMBER(Jeremy!E24)*(ABS(Jeremy!E24-$G24)&lt;VisitHrs/24)+(Jeremy!F24=$F24)*ISNUMBER(Jeremy!G24)*(ABS(Jeremy!G24-$G24)&lt;VisitHrs/24)+('Test Patient'!B24=$F24)*ISNUMBER('Test Patient'!C24)*(ABS('Test Patient'!C24-$G24)&lt;VisitHrs/24)+('Test Patient'!D24=$F24)*ISNUMBER('Test Patient'!E24)*(ABS('Test Patient'!E24-$G24)&lt;VisitHrs/24)+('Test Patient'!F24=$F24)*ISNUMBER('Test Patient'!G24)*(ABS('Test Patient'!G24-$G24)&lt;VisitHrs/24))-1)+('Anita Klesch'!$B24=$F24)*($G24&lt;DayEnd)*($G24+VisitHrs/24&gt;DayStart)+('Anita Klesch'!$C24=$F24)*((($G24+VisitHrs/24&gt;DayEnd)+($G24&lt;DayStart))&gt;0)+('Test Patient 2'!$B24=$F24)*($G24&lt;DayEnd)*($G24+VisitHrs/24&gt;DayStart)+('Test Patient 2'!$C24=$F24)*((($G24+VisitHrs/24&gt;DayEnd)+($G24&lt;DayStart))&gt;0)&gt;=1,1,0),0)</f>
        <v>0</v>
      </c>
      <c r="M24" s="12">
        <f t="shared" si="2"/>
        <v>0</v>
      </c>
      <c r="N24" s="12">
        <f t="shared" si="3"/>
        <v>0</v>
      </c>
      <c r="O24" s="12">
        <f t="shared" si="4"/>
        <v>0</v>
      </c>
    </row>
    <row r="25" spans="1:15" x14ac:dyDescent="0.2">
      <c r="A25" s="2">
        <f t="shared" si="5"/>
        <v>46231</v>
      </c>
      <c r="B25" s="19"/>
      <c r="C25" s="25"/>
      <c r="D25" s="19"/>
      <c r="E25" s="25"/>
      <c r="F25" s="19"/>
      <c r="G25" s="25"/>
      <c r="H25" s="12">
        <f t="shared" si="0"/>
        <v>1</v>
      </c>
      <c r="I25" s="12">
        <f t="shared" si="1"/>
        <v>0</v>
      </c>
      <c r="J25" s="12">
        <f>IF(AND($H25=1,$B25&lt;&gt;"",ISNUMBER($C25)),IF(((('Lucy Levene'!B25=$B25)*ISNUMBER('Lucy Levene'!C25)*(ABS('Lucy Levene'!C25-$C25)&lt;VisitHrs/24)+('Lucy Levene'!D25=$B25)*ISNUMBER('Lucy Levene'!E25)*(ABS('Lucy Levene'!E25-$C25)&lt;VisitHrs/24)+('Lucy Levene'!F25=$B25)*ISNUMBER('Lucy Levene'!G25)*(ABS('Lucy Levene'!G25-$C25)&lt;VisitHrs/24)+('Tom Bock'!B25=$B25)*ISNUMBER('Tom Bock'!C25)*(ABS('Tom Bock'!C25-$C25)&lt;VisitHrs/24)+('Tom Bock'!D25=$B25)*ISNUMBER('Tom Bock'!E25)*(ABS('Tom Bock'!E25-$C25)&lt;VisitHrs/24)+('Tom Bock'!F25=$B25)*ISNUMBER('Tom Bock'!G25)*(ABS('Tom Bock'!G25-$C25)&lt;VisitHrs/24)+(Jeremy!B25=$B25)*ISNUMBER(Jeremy!C25)*(ABS(Jeremy!C25-$C25)&lt;VisitHrs/24)+(Jeremy!D25=$B25)*ISNUMBER(Jeremy!E25)*(ABS(Jeremy!E25-$C25)&lt;VisitHrs/24)+(Jeremy!F25=$B25)*ISNUMBER(Jeremy!G25)*(ABS(Jeremy!G25-$C25)&lt;VisitHrs/24)+('Test Patient'!B25=$B25)*ISNUMBER('Test Patient'!C25)*(ABS('Test Patient'!C25-$C25)&lt;VisitHrs/24)+('Test Patient'!D25=$B25)*ISNUMBER('Test Patient'!E25)*(ABS('Test Patient'!E25-$C25)&lt;VisitHrs/24)+('Test Patient'!F25=$B25)*ISNUMBER('Test Patient'!G25)*(ABS('Test Patient'!G25-$C25)&lt;VisitHrs/24))-1)+('Anita Klesch'!$B25=$B25)*($C25&lt;DayEnd)*($C25+VisitHrs/24&gt;DayStart)+('Anita Klesch'!$C25=$B25)*((($C25+VisitHrs/24&gt;DayEnd)+($C25&lt;DayStart))&gt;0)+('Test Patient 2'!$B25=$B25)*($C25&lt;DayEnd)*($C25+VisitHrs/24&gt;DayStart)+('Test Patient 2'!$C25=$B25)*((($C25+VisitHrs/24&gt;DayEnd)+($C25&lt;DayStart))&gt;0)&gt;=1,1,0),0)</f>
        <v>0</v>
      </c>
      <c r="K25" s="12">
        <f>IF(AND($H25=1,$D25&lt;&gt;"",ISNUMBER($E25)),IF(((('Lucy Levene'!B25=$D25)*ISNUMBER('Lucy Levene'!C25)*(ABS('Lucy Levene'!C25-$E25)&lt;VisitHrs/24)+('Lucy Levene'!D25=$D25)*ISNUMBER('Lucy Levene'!E25)*(ABS('Lucy Levene'!E25-$E25)&lt;VisitHrs/24)+('Lucy Levene'!F25=$D25)*ISNUMBER('Lucy Levene'!G25)*(ABS('Lucy Levene'!G25-$E25)&lt;VisitHrs/24)+('Tom Bock'!B25=$D25)*ISNUMBER('Tom Bock'!C25)*(ABS('Tom Bock'!C25-$E25)&lt;VisitHrs/24)+('Tom Bock'!D25=$D25)*ISNUMBER('Tom Bock'!E25)*(ABS('Tom Bock'!E25-$E25)&lt;VisitHrs/24)+('Tom Bock'!F25=$D25)*ISNUMBER('Tom Bock'!G25)*(ABS('Tom Bock'!G25-$E25)&lt;VisitHrs/24)+(Jeremy!B25=$D25)*ISNUMBER(Jeremy!C25)*(ABS(Jeremy!C25-$E25)&lt;VisitHrs/24)+(Jeremy!D25=$D25)*ISNUMBER(Jeremy!E25)*(ABS(Jeremy!E25-$E25)&lt;VisitHrs/24)+(Jeremy!F25=$D25)*ISNUMBER(Jeremy!G25)*(ABS(Jeremy!G25-$E25)&lt;VisitHrs/24)+('Test Patient'!B25=$D25)*ISNUMBER('Test Patient'!C25)*(ABS('Test Patient'!C25-$E25)&lt;VisitHrs/24)+('Test Patient'!D25=$D25)*ISNUMBER('Test Patient'!E25)*(ABS('Test Patient'!E25-$E25)&lt;VisitHrs/24)+('Test Patient'!F25=$D25)*ISNUMBER('Test Patient'!G25)*(ABS('Test Patient'!G25-$E25)&lt;VisitHrs/24))-1)+('Anita Klesch'!$B25=$D25)*($E25&lt;DayEnd)*($E25+VisitHrs/24&gt;DayStart)+('Anita Klesch'!$C25=$D25)*((($E25+VisitHrs/24&gt;DayEnd)+($E25&lt;DayStart))&gt;0)+('Test Patient 2'!$B25=$D25)*($E25&lt;DayEnd)*($E25+VisitHrs/24&gt;DayStart)+('Test Patient 2'!$C25=$D25)*((($E25+VisitHrs/24&gt;DayEnd)+($E25&lt;DayStart))&gt;0)&gt;=1,1,0),0)</f>
        <v>0</v>
      </c>
      <c r="L25" s="12">
        <f>IF(AND($H25=1,$F25&lt;&gt;"",ISNUMBER($G25)),IF(((('Lucy Levene'!B25=$F25)*ISNUMBER('Lucy Levene'!C25)*(ABS('Lucy Levene'!C25-$G25)&lt;VisitHrs/24)+('Lucy Levene'!D25=$F25)*ISNUMBER('Lucy Levene'!E25)*(ABS('Lucy Levene'!E25-$G25)&lt;VisitHrs/24)+('Lucy Levene'!F25=$F25)*ISNUMBER('Lucy Levene'!G25)*(ABS('Lucy Levene'!G25-$G25)&lt;VisitHrs/24)+('Tom Bock'!B25=$F25)*ISNUMBER('Tom Bock'!C25)*(ABS('Tom Bock'!C25-$G25)&lt;VisitHrs/24)+('Tom Bock'!D25=$F25)*ISNUMBER('Tom Bock'!E25)*(ABS('Tom Bock'!E25-$G25)&lt;VisitHrs/24)+('Tom Bock'!F25=$F25)*ISNUMBER('Tom Bock'!G25)*(ABS('Tom Bock'!G25-$G25)&lt;VisitHrs/24)+(Jeremy!B25=$F25)*ISNUMBER(Jeremy!C25)*(ABS(Jeremy!C25-$G25)&lt;VisitHrs/24)+(Jeremy!D25=$F25)*ISNUMBER(Jeremy!E25)*(ABS(Jeremy!E25-$G25)&lt;VisitHrs/24)+(Jeremy!F25=$F25)*ISNUMBER(Jeremy!G25)*(ABS(Jeremy!G25-$G25)&lt;VisitHrs/24)+('Test Patient'!B25=$F25)*ISNUMBER('Test Patient'!C25)*(ABS('Test Patient'!C25-$G25)&lt;VisitHrs/24)+('Test Patient'!D25=$F25)*ISNUMBER('Test Patient'!E25)*(ABS('Test Patient'!E25-$G25)&lt;VisitHrs/24)+('Test Patient'!F25=$F25)*ISNUMBER('Test Patient'!G25)*(ABS('Test Patient'!G25-$G25)&lt;VisitHrs/24))-1)+('Anita Klesch'!$B25=$F25)*($G25&lt;DayEnd)*($G25+VisitHrs/24&gt;DayStart)+('Anita Klesch'!$C25=$F25)*((($G25+VisitHrs/24&gt;DayEnd)+($G25&lt;DayStart))&gt;0)+('Test Patient 2'!$B25=$F25)*($G25&lt;DayEnd)*($G25+VisitHrs/24&gt;DayStart)+('Test Patient 2'!$C25=$F25)*((($G25+VisitHrs/24&gt;DayEnd)+($G25&lt;DayStart))&gt;0)&gt;=1,1,0),0)</f>
        <v>0</v>
      </c>
      <c r="M25" s="12">
        <f t="shared" si="2"/>
        <v>0</v>
      </c>
      <c r="N25" s="12">
        <f t="shared" si="3"/>
        <v>0</v>
      </c>
      <c r="O25" s="12">
        <f t="shared" si="4"/>
        <v>0</v>
      </c>
    </row>
    <row r="26" spans="1:15" x14ac:dyDescent="0.2">
      <c r="A26" s="2">
        <f t="shared" si="5"/>
        <v>46232</v>
      </c>
      <c r="B26" s="19"/>
      <c r="C26" s="25"/>
      <c r="D26" s="19"/>
      <c r="E26" s="25"/>
      <c r="F26" s="19"/>
      <c r="G26" s="25"/>
      <c r="H26" s="12">
        <f t="shared" si="0"/>
        <v>1</v>
      </c>
      <c r="I26" s="12">
        <f t="shared" si="1"/>
        <v>0</v>
      </c>
      <c r="J26" s="12">
        <f>IF(AND($H26=1,$B26&lt;&gt;"",ISNUMBER($C26)),IF(((('Lucy Levene'!B26=$B26)*ISNUMBER('Lucy Levene'!C26)*(ABS('Lucy Levene'!C26-$C26)&lt;VisitHrs/24)+('Lucy Levene'!D26=$B26)*ISNUMBER('Lucy Levene'!E26)*(ABS('Lucy Levene'!E26-$C26)&lt;VisitHrs/24)+('Lucy Levene'!F26=$B26)*ISNUMBER('Lucy Levene'!G26)*(ABS('Lucy Levene'!G26-$C26)&lt;VisitHrs/24)+('Tom Bock'!B26=$B26)*ISNUMBER('Tom Bock'!C26)*(ABS('Tom Bock'!C26-$C26)&lt;VisitHrs/24)+('Tom Bock'!D26=$B26)*ISNUMBER('Tom Bock'!E26)*(ABS('Tom Bock'!E26-$C26)&lt;VisitHrs/24)+('Tom Bock'!F26=$B26)*ISNUMBER('Tom Bock'!G26)*(ABS('Tom Bock'!G26-$C26)&lt;VisitHrs/24)+(Jeremy!B26=$B26)*ISNUMBER(Jeremy!C26)*(ABS(Jeremy!C26-$C26)&lt;VisitHrs/24)+(Jeremy!D26=$B26)*ISNUMBER(Jeremy!E26)*(ABS(Jeremy!E26-$C26)&lt;VisitHrs/24)+(Jeremy!F26=$B26)*ISNUMBER(Jeremy!G26)*(ABS(Jeremy!G26-$C26)&lt;VisitHrs/24)+('Test Patient'!B26=$B26)*ISNUMBER('Test Patient'!C26)*(ABS('Test Patient'!C26-$C26)&lt;VisitHrs/24)+('Test Patient'!D26=$B26)*ISNUMBER('Test Patient'!E26)*(ABS('Test Patient'!E26-$C26)&lt;VisitHrs/24)+('Test Patient'!F26=$B26)*ISNUMBER('Test Patient'!G26)*(ABS('Test Patient'!G26-$C26)&lt;VisitHrs/24))-1)+('Anita Klesch'!$B26=$B26)*($C26&lt;DayEnd)*($C26+VisitHrs/24&gt;DayStart)+('Anita Klesch'!$C26=$B26)*((($C26+VisitHrs/24&gt;DayEnd)+($C26&lt;DayStart))&gt;0)+('Test Patient 2'!$B26=$B26)*($C26&lt;DayEnd)*($C26+VisitHrs/24&gt;DayStart)+('Test Patient 2'!$C26=$B26)*((($C26+VisitHrs/24&gt;DayEnd)+($C26&lt;DayStart))&gt;0)&gt;=1,1,0),0)</f>
        <v>0</v>
      </c>
      <c r="K26" s="12">
        <f>IF(AND($H26=1,$D26&lt;&gt;"",ISNUMBER($E26)),IF(((('Lucy Levene'!B26=$D26)*ISNUMBER('Lucy Levene'!C26)*(ABS('Lucy Levene'!C26-$E26)&lt;VisitHrs/24)+('Lucy Levene'!D26=$D26)*ISNUMBER('Lucy Levene'!E26)*(ABS('Lucy Levene'!E26-$E26)&lt;VisitHrs/24)+('Lucy Levene'!F26=$D26)*ISNUMBER('Lucy Levene'!G26)*(ABS('Lucy Levene'!G26-$E26)&lt;VisitHrs/24)+('Tom Bock'!B26=$D26)*ISNUMBER('Tom Bock'!C26)*(ABS('Tom Bock'!C26-$E26)&lt;VisitHrs/24)+('Tom Bock'!D26=$D26)*ISNUMBER('Tom Bock'!E26)*(ABS('Tom Bock'!E26-$E26)&lt;VisitHrs/24)+('Tom Bock'!F26=$D26)*ISNUMBER('Tom Bock'!G26)*(ABS('Tom Bock'!G26-$E26)&lt;VisitHrs/24)+(Jeremy!B26=$D26)*ISNUMBER(Jeremy!C26)*(ABS(Jeremy!C26-$E26)&lt;VisitHrs/24)+(Jeremy!D26=$D26)*ISNUMBER(Jeremy!E26)*(ABS(Jeremy!E26-$E26)&lt;VisitHrs/24)+(Jeremy!F26=$D26)*ISNUMBER(Jeremy!G26)*(ABS(Jeremy!G26-$E26)&lt;VisitHrs/24)+('Test Patient'!B26=$D26)*ISNUMBER('Test Patient'!C26)*(ABS('Test Patient'!C26-$E26)&lt;VisitHrs/24)+('Test Patient'!D26=$D26)*ISNUMBER('Test Patient'!E26)*(ABS('Test Patient'!E26-$E26)&lt;VisitHrs/24)+('Test Patient'!F26=$D26)*ISNUMBER('Test Patient'!G26)*(ABS('Test Patient'!G26-$E26)&lt;VisitHrs/24))-1)+('Anita Klesch'!$B26=$D26)*($E26&lt;DayEnd)*($E26+VisitHrs/24&gt;DayStart)+('Anita Klesch'!$C26=$D26)*((($E26+VisitHrs/24&gt;DayEnd)+($E26&lt;DayStart))&gt;0)+('Test Patient 2'!$B26=$D26)*($E26&lt;DayEnd)*($E26+VisitHrs/24&gt;DayStart)+('Test Patient 2'!$C26=$D26)*((($E26+VisitHrs/24&gt;DayEnd)+($E26&lt;DayStart))&gt;0)&gt;=1,1,0),0)</f>
        <v>0</v>
      </c>
      <c r="L26" s="12">
        <f>IF(AND($H26=1,$F26&lt;&gt;"",ISNUMBER($G26)),IF(((('Lucy Levene'!B26=$F26)*ISNUMBER('Lucy Levene'!C26)*(ABS('Lucy Levene'!C26-$G26)&lt;VisitHrs/24)+('Lucy Levene'!D26=$F26)*ISNUMBER('Lucy Levene'!E26)*(ABS('Lucy Levene'!E26-$G26)&lt;VisitHrs/24)+('Lucy Levene'!F26=$F26)*ISNUMBER('Lucy Levene'!G26)*(ABS('Lucy Levene'!G26-$G26)&lt;VisitHrs/24)+('Tom Bock'!B26=$F26)*ISNUMBER('Tom Bock'!C26)*(ABS('Tom Bock'!C26-$G26)&lt;VisitHrs/24)+('Tom Bock'!D26=$F26)*ISNUMBER('Tom Bock'!E26)*(ABS('Tom Bock'!E26-$G26)&lt;VisitHrs/24)+('Tom Bock'!F26=$F26)*ISNUMBER('Tom Bock'!G26)*(ABS('Tom Bock'!G26-$G26)&lt;VisitHrs/24)+(Jeremy!B26=$F26)*ISNUMBER(Jeremy!C26)*(ABS(Jeremy!C26-$G26)&lt;VisitHrs/24)+(Jeremy!D26=$F26)*ISNUMBER(Jeremy!E26)*(ABS(Jeremy!E26-$G26)&lt;VisitHrs/24)+(Jeremy!F26=$F26)*ISNUMBER(Jeremy!G26)*(ABS(Jeremy!G26-$G26)&lt;VisitHrs/24)+('Test Patient'!B26=$F26)*ISNUMBER('Test Patient'!C26)*(ABS('Test Patient'!C26-$G26)&lt;VisitHrs/24)+('Test Patient'!D26=$F26)*ISNUMBER('Test Patient'!E26)*(ABS('Test Patient'!E26-$G26)&lt;VisitHrs/24)+('Test Patient'!F26=$F26)*ISNUMBER('Test Patient'!G26)*(ABS('Test Patient'!G26-$G26)&lt;VisitHrs/24))-1)+('Anita Klesch'!$B26=$F26)*($G26&lt;DayEnd)*($G26+VisitHrs/24&gt;DayStart)+('Anita Klesch'!$C26=$F26)*((($G26+VisitHrs/24&gt;DayEnd)+($G26&lt;DayStart))&gt;0)+('Test Patient 2'!$B26=$F26)*($G26&lt;DayEnd)*($G26+VisitHrs/24&gt;DayStart)+('Test Patient 2'!$C26=$F26)*((($G26+VisitHrs/24&gt;DayEnd)+($G26&lt;DayStart))&gt;0)&gt;=1,1,0),0)</f>
        <v>0</v>
      </c>
      <c r="M26" s="12">
        <f t="shared" si="2"/>
        <v>0</v>
      </c>
      <c r="N26" s="12">
        <f t="shared" si="3"/>
        <v>0</v>
      </c>
      <c r="O26" s="12">
        <f t="shared" si="4"/>
        <v>0</v>
      </c>
    </row>
    <row r="27" spans="1:15" x14ac:dyDescent="0.2">
      <c r="A27" s="2">
        <f t="shared" si="5"/>
        <v>46233</v>
      </c>
      <c r="B27" s="19"/>
      <c r="C27" s="25"/>
      <c r="D27" s="19"/>
      <c r="E27" s="25"/>
      <c r="F27" s="19"/>
      <c r="G27" s="25"/>
      <c r="H27" s="12">
        <f t="shared" si="0"/>
        <v>1</v>
      </c>
      <c r="I27" s="12">
        <f t="shared" si="1"/>
        <v>0</v>
      </c>
      <c r="J27" s="12">
        <f>IF(AND($H27=1,$B27&lt;&gt;"",ISNUMBER($C27)),IF(((('Lucy Levene'!B27=$B27)*ISNUMBER('Lucy Levene'!C27)*(ABS('Lucy Levene'!C27-$C27)&lt;VisitHrs/24)+('Lucy Levene'!D27=$B27)*ISNUMBER('Lucy Levene'!E27)*(ABS('Lucy Levene'!E27-$C27)&lt;VisitHrs/24)+('Lucy Levene'!F27=$B27)*ISNUMBER('Lucy Levene'!G27)*(ABS('Lucy Levene'!G27-$C27)&lt;VisitHrs/24)+('Tom Bock'!B27=$B27)*ISNUMBER('Tom Bock'!C27)*(ABS('Tom Bock'!C27-$C27)&lt;VisitHrs/24)+('Tom Bock'!D27=$B27)*ISNUMBER('Tom Bock'!E27)*(ABS('Tom Bock'!E27-$C27)&lt;VisitHrs/24)+('Tom Bock'!F27=$B27)*ISNUMBER('Tom Bock'!G27)*(ABS('Tom Bock'!G27-$C27)&lt;VisitHrs/24)+(Jeremy!B27=$B27)*ISNUMBER(Jeremy!C27)*(ABS(Jeremy!C27-$C27)&lt;VisitHrs/24)+(Jeremy!D27=$B27)*ISNUMBER(Jeremy!E27)*(ABS(Jeremy!E27-$C27)&lt;VisitHrs/24)+(Jeremy!F27=$B27)*ISNUMBER(Jeremy!G27)*(ABS(Jeremy!G27-$C27)&lt;VisitHrs/24)+('Test Patient'!B27=$B27)*ISNUMBER('Test Patient'!C27)*(ABS('Test Patient'!C27-$C27)&lt;VisitHrs/24)+('Test Patient'!D27=$B27)*ISNUMBER('Test Patient'!E27)*(ABS('Test Patient'!E27-$C27)&lt;VisitHrs/24)+('Test Patient'!F27=$B27)*ISNUMBER('Test Patient'!G27)*(ABS('Test Patient'!G27-$C27)&lt;VisitHrs/24))-1)+('Anita Klesch'!$B27=$B27)*($C27&lt;DayEnd)*($C27+VisitHrs/24&gt;DayStart)+('Anita Klesch'!$C27=$B27)*((($C27+VisitHrs/24&gt;DayEnd)+($C27&lt;DayStart))&gt;0)+('Test Patient 2'!$B27=$B27)*($C27&lt;DayEnd)*($C27+VisitHrs/24&gt;DayStart)+('Test Patient 2'!$C27=$B27)*((($C27+VisitHrs/24&gt;DayEnd)+($C27&lt;DayStart))&gt;0)&gt;=1,1,0),0)</f>
        <v>0</v>
      </c>
      <c r="K27" s="12">
        <f>IF(AND($H27=1,$D27&lt;&gt;"",ISNUMBER($E27)),IF(((('Lucy Levene'!B27=$D27)*ISNUMBER('Lucy Levene'!C27)*(ABS('Lucy Levene'!C27-$E27)&lt;VisitHrs/24)+('Lucy Levene'!D27=$D27)*ISNUMBER('Lucy Levene'!E27)*(ABS('Lucy Levene'!E27-$E27)&lt;VisitHrs/24)+('Lucy Levene'!F27=$D27)*ISNUMBER('Lucy Levene'!G27)*(ABS('Lucy Levene'!G27-$E27)&lt;VisitHrs/24)+('Tom Bock'!B27=$D27)*ISNUMBER('Tom Bock'!C27)*(ABS('Tom Bock'!C27-$E27)&lt;VisitHrs/24)+('Tom Bock'!D27=$D27)*ISNUMBER('Tom Bock'!E27)*(ABS('Tom Bock'!E27-$E27)&lt;VisitHrs/24)+('Tom Bock'!F27=$D27)*ISNUMBER('Tom Bock'!G27)*(ABS('Tom Bock'!G27-$E27)&lt;VisitHrs/24)+(Jeremy!B27=$D27)*ISNUMBER(Jeremy!C27)*(ABS(Jeremy!C27-$E27)&lt;VisitHrs/24)+(Jeremy!D27=$D27)*ISNUMBER(Jeremy!E27)*(ABS(Jeremy!E27-$E27)&lt;VisitHrs/24)+(Jeremy!F27=$D27)*ISNUMBER(Jeremy!G27)*(ABS(Jeremy!G27-$E27)&lt;VisitHrs/24)+('Test Patient'!B27=$D27)*ISNUMBER('Test Patient'!C27)*(ABS('Test Patient'!C27-$E27)&lt;VisitHrs/24)+('Test Patient'!D27=$D27)*ISNUMBER('Test Patient'!E27)*(ABS('Test Patient'!E27-$E27)&lt;VisitHrs/24)+('Test Patient'!F27=$D27)*ISNUMBER('Test Patient'!G27)*(ABS('Test Patient'!G27-$E27)&lt;VisitHrs/24))-1)+('Anita Klesch'!$B27=$D27)*($E27&lt;DayEnd)*($E27+VisitHrs/24&gt;DayStart)+('Anita Klesch'!$C27=$D27)*((($E27+VisitHrs/24&gt;DayEnd)+($E27&lt;DayStart))&gt;0)+('Test Patient 2'!$B27=$D27)*($E27&lt;DayEnd)*($E27+VisitHrs/24&gt;DayStart)+('Test Patient 2'!$C27=$D27)*((($E27+VisitHrs/24&gt;DayEnd)+($E27&lt;DayStart))&gt;0)&gt;=1,1,0),0)</f>
        <v>0</v>
      </c>
      <c r="L27" s="12">
        <f>IF(AND($H27=1,$F27&lt;&gt;"",ISNUMBER($G27)),IF(((('Lucy Levene'!B27=$F27)*ISNUMBER('Lucy Levene'!C27)*(ABS('Lucy Levene'!C27-$G27)&lt;VisitHrs/24)+('Lucy Levene'!D27=$F27)*ISNUMBER('Lucy Levene'!E27)*(ABS('Lucy Levene'!E27-$G27)&lt;VisitHrs/24)+('Lucy Levene'!F27=$F27)*ISNUMBER('Lucy Levene'!G27)*(ABS('Lucy Levene'!G27-$G27)&lt;VisitHrs/24)+('Tom Bock'!B27=$F27)*ISNUMBER('Tom Bock'!C27)*(ABS('Tom Bock'!C27-$G27)&lt;VisitHrs/24)+('Tom Bock'!D27=$F27)*ISNUMBER('Tom Bock'!E27)*(ABS('Tom Bock'!E27-$G27)&lt;VisitHrs/24)+('Tom Bock'!F27=$F27)*ISNUMBER('Tom Bock'!G27)*(ABS('Tom Bock'!G27-$G27)&lt;VisitHrs/24)+(Jeremy!B27=$F27)*ISNUMBER(Jeremy!C27)*(ABS(Jeremy!C27-$G27)&lt;VisitHrs/24)+(Jeremy!D27=$F27)*ISNUMBER(Jeremy!E27)*(ABS(Jeremy!E27-$G27)&lt;VisitHrs/24)+(Jeremy!F27=$F27)*ISNUMBER(Jeremy!G27)*(ABS(Jeremy!G27-$G27)&lt;VisitHrs/24)+('Test Patient'!B27=$F27)*ISNUMBER('Test Patient'!C27)*(ABS('Test Patient'!C27-$G27)&lt;VisitHrs/24)+('Test Patient'!D27=$F27)*ISNUMBER('Test Patient'!E27)*(ABS('Test Patient'!E27-$G27)&lt;VisitHrs/24)+('Test Patient'!F27=$F27)*ISNUMBER('Test Patient'!G27)*(ABS('Test Patient'!G27-$G27)&lt;VisitHrs/24))-1)+('Anita Klesch'!$B27=$F27)*($G27&lt;DayEnd)*($G27+VisitHrs/24&gt;DayStart)+('Anita Klesch'!$C27=$F27)*((($G27+VisitHrs/24&gt;DayEnd)+($G27&lt;DayStart))&gt;0)+('Test Patient 2'!$B27=$F27)*($G27&lt;DayEnd)*($G27+VisitHrs/24&gt;DayStart)+('Test Patient 2'!$C27=$F27)*((($G27+VisitHrs/24&gt;DayEnd)+($G27&lt;DayStart))&gt;0)&gt;=1,1,0),0)</f>
        <v>0</v>
      </c>
      <c r="M27" s="12">
        <f t="shared" si="2"/>
        <v>0</v>
      </c>
      <c r="N27" s="12">
        <f t="shared" si="3"/>
        <v>0</v>
      </c>
      <c r="O27" s="12">
        <f t="shared" si="4"/>
        <v>0</v>
      </c>
    </row>
    <row r="28" spans="1:15" x14ac:dyDescent="0.2">
      <c r="A28" s="2">
        <f t="shared" si="5"/>
        <v>46234</v>
      </c>
      <c r="B28" s="19"/>
      <c r="C28" s="25"/>
      <c r="D28" s="19"/>
      <c r="E28" s="25"/>
      <c r="F28" s="19"/>
      <c r="G28" s="25"/>
      <c r="H28" s="12">
        <f t="shared" si="0"/>
        <v>1</v>
      </c>
      <c r="I28" s="12">
        <f t="shared" si="1"/>
        <v>0</v>
      </c>
      <c r="J28" s="12">
        <f>IF(AND($H28=1,$B28&lt;&gt;"",ISNUMBER($C28)),IF(((('Lucy Levene'!B28=$B28)*ISNUMBER('Lucy Levene'!C28)*(ABS('Lucy Levene'!C28-$C28)&lt;VisitHrs/24)+('Lucy Levene'!D28=$B28)*ISNUMBER('Lucy Levene'!E28)*(ABS('Lucy Levene'!E28-$C28)&lt;VisitHrs/24)+('Lucy Levene'!F28=$B28)*ISNUMBER('Lucy Levene'!G28)*(ABS('Lucy Levene'!G28-$C28)&lt;VisitHrs/24)+('Tom Bock'!B28=$B28)*ISNUMBER('Tom Bock'!C28)*(ABS('Tom Bock'!C28-$C28)&lt;VisitHrs/24)+('Tom Bock'!D28=$B28)*ISNUMBER('Tom Bock'!E28)*(ABS('Tom Bock'!E28-$C28)&lt;VisitHrs/24)+('Tom Bock'!F28=$B28)*ISNUMBER('Tom Bock'!G28)*(ABS('Tom Bock'!G28-$C28)&lt;VisitHrs/24)+(Jeremy!B28=$B28)*ISNUMBER(Jeremy!C28)*(ABS(Jeremy!C28-$C28)&lt;VisitHrs/24)+(Jeremy!D28=$B28)*ISNUMBER(Jeremy!E28)*(ABS(Jeremy!E28-$C28)&lt;VisitHrs/24)+(Jeremy!F28=$B28)*ISNUMBER(Jeremy!G28)*(ABS(Jeremy!G28-$C28)&lt;VisitHrs/24)+('Test Patient'!B28=$B28)*ISNUMBER('Test Patient'!C28)*(ABS('Test Patient'!C28-$C28)&lt;VisitHrs/24)+('Test Patient'!D28=$B28)*ISNUMBER('Test Patient'!E28)*(ABS('Test Patient'!E28-$C28)&lt;VisitHrs/24)+('Test Patient'!F28=$B28)*ISNUMBER('Test Patient'!G28)*(ABS('Test Patient'!G28-$C28)&lt;VisitHrs/24))-1)+('Anita Klesch'!$B28=$B28)*($C28&lt;DayEnd)*($C28+VisitHrs/24&gt;DayStart)+('Anita Klesch'!$C28=$B28)*((($C28+VisitHrs/24&gt;DayEnd)+($C28&lt;DayStart))&gt;0)+('Test Patient 2'!$B28=$B28)*($C28&lt;DayEnd)*($C28+VisitHrs/24&gt;DayStart)+('Test Patient 2'!$C28=$B28)*((($C28+VisitHrs/24&gt;DayEnd)+($C28&lt;DayStart))&gt;0)&gt;=1,1,0),0)</f>
        <v>0</v>
      </c>
      <c r="K28" s="12">
        <f>IF(AND($H28=1,$D28&lt;&gt;"",ISNUMBER($E28)),IF(((('Lucy Levene'!B28=$D28)*ISNUMBER('Lucy Levene'!C28)*(ABS('Lucy Levene'!C28-$E28)&lt;VisitHrs/24)+('Lucy Levene'!D28=$D28)*ISNUMBER('Lucy Levene'!E28)*(ABS('Lucy Levene'!E28-$E28)&lt;VisitHrs/24)+('Lucy Levene'!F28=$D28)*ISNUMBER('Lucy Levene'!G28)*(ABS('Lucy Levene'!G28-$E28)&lt;VisitHrs/24)+('Tom Bock'!B28=$D28)*ISNUMBER('Tom Bock'!C28)*(ABS('Tom Bock'!C28-$E28)&lt;VisitHrs/24)+('Tom Bock'!D28=$D28)*ISNUMBER('Tom Bock'!E28)*(ABS('Tom Bock'!E28-$E28)&lt;VisitHrs/24)+('Tom Bock'!F28=$D28)*ISNUMBER('Tom Bock'!G28)*(ABS('Tom Bock'!G28-$E28)&lt;VisitHrs/24)+(Jeremy!B28=$D28)*ISNUMBER(Jeremy!C28)*(ABS(Jeremy!C28-$E28)&lt;VisitHrs/24)+(Jeremy!D28=$D28)*ISNUMBER(Jeremy!E28)*(ABS(Jeremy!E28-$E28)&lt;VisitHrs/24)+(Jeremy!F28=$D28)*ISNUMBER(Jeremy!G28)*(ABS(Jeremy!G28-$E28)&lt;VisitHrs/24)+('Test Patient'!B28=$D28)*ISNUMBER('Test Patient'!C28)*(ABS('Test Patient'!C28-$E28)&lt;VisitHrs/24)+('Test Patient'!D28=$D28)*ISNUMBER('Test Patient'!E28)*(ABS('Test Patient'!E28-$E28)&lt;VisitHrs/24)+('Test Patient'!F28=$D28)*ISNUMBER('Test Patient'!G28)*(ABS('Test Patient'!G28-$E28)&lt;VisitHrs/24))-1)+('Anita Klesch'!$B28=$D28)*($E28&lt;DayEnd)*($E28+VisitHrs/24&gt;DayStart)+('Anita Klesch'!$C28=$D28)*((($E28+VisitHrs/24&gt;DayEnd)+($E28&lt;DayStart))&gt;0)+('Test Patient 2'!$B28=$D28)*($E28&lt;DayEnd)*($E28+VisitHrs/24&gt;DayStart)+('Test Patient 2'!$C28=$D28)*((($E28+VisitHrs/24&gt;DayEnd)+($E28&lt;DayStart))&gt;0)&gt;=1,1,0),0)</f>
        <v>0</v>
      </c>
      <c r="L28" s="12">
        <f>IF(AND($H28=1,$F28&lt;&gt;"",ISNUMBER($G28)),IF(((('Lucy Levene'!B28=$F28)*ISNUMBER('Lucy Levene'!C28)*(ABS('Lucy Levene'!C28-$G28)&lt;VisitHrs/24)+('Lucy Levene'!D28=$F28)*ISNUMBER('Lucy Levene'!E28)*(ABS('Lucy Levene'!E28-$G28)&lt;VisitHrs/24)+('Lucy Levene'!F28=$F28)*ISNUMBER('Lucy Levene'!G28)*(ABS('Lucy Levene'!G28-$G28)&lt;VisitHrs/24)+('Tom Bock'!B28=$F28)*ISNUMBER('Tom Bock'!C28)*(ABS('Tom Bock'!C28-$G28)&lt;VisitHrs/24)+('Tom Bock'!D28=$F28)*ISNUMBER('Tom Bock'!E28)*(ABS('Tom Bock'!E28-$G28)&lt;VisitHrs/24)+('Tom Bock'!F28=$F28)*ISNUMBER('Tom Bock'!G28)*(ABS('Tom Bock'!G28-$G28)&lt;VisitHrs/24)+(Jeremy!B28=$F28)*ISNUMBER(Jeremy!C28)*(ABS(Jeremy!C28-$G28)&lt;VisitHrs/24)+(Jeremy!D28=$F28)*ISNUMBER(Jeremy!E28)*(ABS(Jeremy!E28-$G28)&lt;VisitHrs/24)+(Jeremy!F28=$F28)*ISNUMBER(Jeremy!G28)*(ABS(Jeremy!G28-$G28)&lt;VisitHrs/24)+('Test Patient'!B28=$F28)*ISNUMBER('Test Patient'!C28)*(ABS('Test Patient'!C28-$G28)&lt;VisitHrs/24)+('Test Patient'!D28=$F28)*ISNUMBER('Test Patient'!E28)*(ABS('Test Patient'!E28-$G28)&lt;VisitHrs/24)+('Test Patient'!F28=$F28)*ISNUMBER('Test Patient'!G28)*(ABS('Test Patient'!G28-$G28)&lt;VisitHrs/24))-1)+('Anita Klesch'!$B28=$F28)*($G28&lt;DayEnd)*($G28+VisitHrs/24&gt;DayStart)+('Anita Klesch'!$C28=$F28)*((($G28+VisitHrs/24&gt;DayEnd)+($G28&lt;DayStart))&gt;0)+('Test Patient 2'!$B28=$F28)*($G28&lt;DayEnd)*($G28+VisitHrs/24&gt;DayStart)+('Test Patient 2'!$C28=$F28)*((($G28+VisitHrs/24&gt;DayEnd)+($G28&lt;DayStart))&gt;0)&gt;=1,1,0),0)</f>
        <v>0</v>
      </c>
      <c r="M28" s="12">
        <f t="shared" si="2"/>
        <v>0</v>
      </c>
      <c r="N28" s="12">
        <f t="shared" si="3"/>
        <v>0</v>
      </c>
      <c r="O28" s="12">
        <f t="shared" si="4"/>
        <v>0</v>
      </c>
    </row>
    <row r="29" spans="1:15" x14ac:dyDescent="0.2">
      <c r="A29" s="2">
        <f t="shared" si="5"/>
        <v>46235</v>
      </c>
      <c r="B29" s="19"/>
      <c r="C29" s="25"/>
      <c r="D29" s="19"/>
      <c r="E29" s="25"/>
      <c r="F29" s="19"/>
      <c r="G29" s="25"/>
      <c r="H29" s="12">
        <f t="shared" si="0"/>
        <v>1</v>
      </c>
      <c r="I29" s="12">
        <f t="shared" si="1"/>
        <v>0</v>
      </c>
      <c r="J29" s="12">
        <f>IF(AND($H29=1,$B29&lt;&gt;"",ISNUMBER($C29)),IF(((('Lucy Levene'!B29=$B29)*ISNUMBER('Lucy Levene'!C29)*(ABS('Lucy Levene'!C29-$C29)&lt;VisitHrs/24)+('Lucy Levene'!D29=$B29)*ISNUMBER('Lucy Levene'!E29)*(ABS('Lucy Levene'!E29-$C29)&lt;VisitHrs/24)+('Lucy Levene'!F29=$B29)*ISNUMBER('Lucy Levene'!G29)*(ABS('Lucy Levene'!G29-$C29)&lt;VisitHrs/24)+('Tom Bock'!B29=$B29)*ISNUMBER('Tom Bock'!C29)*(ABS('Tom Bock'!C29-$C29)&lt;VisitHrs/24)+('Tom Bock'!D29=$B29)*ISNUMBER('Tom Bock'!E29)*(ABS('Tom Bock'!E29-$C29)&lt;VisitHrs/24)+('Tom Bock'!F29=$B29)*ISNUMBER('Tom Bock'!G29)*(ABS('Tom Bock'!G29-$C29)&lt;VisitHrs/24)+(Jeremy!B29=$B29)*ISNUMBER(Jeremy!C29)*(ABS(Jeremy!C29-$C29)&lt;VisitHrs/24)+(Jeremy!D29=$B29)*ISNUMBER(Jeremy!E29)*(ABS(Jeremy!E29-$C29)&lt;VisitHrs/24)+(Jeremy!F29=$B29)*ISNUMBER(Jeremy!G29)*(ABS(Jeremy!G29-$C29)&lt;VisitHrs/24)+('Test Patient'!B29=$B29)*ISNUMBER('Test Patient'!C29)*(ABS('Test Patient'!C29-$C29)&lt;VisitHrs/24)+('Test Patient'!D29=$B29)*ISNUMBER('Test Patient'!E29)*(ABS('Test Patient'!E29-$C29)&lt;VisitHrs/24)+('Test Patient'!F29=$B29)*ISNUMBER('Test Patient'!G29)*(ABS('Test Patient'!G29-$C29)&lt;VisitHrs/24))-1)+('Anita Klesch'!$B29=$B29)*($C29&lt;DayEnd)*($C29+VisitHrs/24&gt;DayStart)+('Anita Klesch'!$C29=$B29)*((($C29+VisitHrs/24&gt;DayEnd)+($C29&lt;DayStart))&gt;0)+('Test Patient 2'!$B29=$B29)*($C29&lt;DayEnd)*($C29+VisitHrs/24&gt;DayStart)+('Test Patient 2'!$C29=$B29)*((($C29+VisitHrs/24&gt;DayEnd)+($C29&lt;DayStart))&gt;0)&gt;=1,1,0),0)</f>
        <v>0</v>
      </c>
      <c r="K29" s="12">
        <f>IF(AND($H29=1,$D29&lt;&gt;"",ISNUMBER($E29)),IF(((('Lucy Levene'!B29=$D29)*ISNUMBER('Lucy Levene'!C29)*(ABS('Lucy Levene'!C29-$E29)&lt;VisitHrs/24)+('Lucy Levene'!D29=$D29)*ISNUMBER('Lucy Levene'!E29)*(ABS('Lucy Levene'!E29-$E29)&lt;VisitHrs/24)+('Lucy Levene'!F29=$D29)*ISNUMBER('Lucy Levene'!G29)*(ABS('Lucy Levene'!G29-$E29)&lt;VisitHrs/24)+('Tom Bock'!B29=$D29)*ISNUMBER('Tom Bock'!C29)*(ABS('Tom Bock'!C29-$E29)&lt;VisitHrs/24)+('Tom Bock'!D29=$D29)*ISNUMBER('Tom Bock'!E29)*(ABS('Tom Bock'!E29-$E29)&lt;VisitHrs/24)+('Tom Bock'!F29=$D29)*ISNUMBER('Tom Bock'!G29)*(ABS('Tom Bock'!G29-$E29)&lt;VisitHrs/24)+(Jeremy!B29=$D29)*ISNUMBER(Jeremy!C29)*(ABS(Jeremy!C29-$E29)&lt;VisitHrs/24)+(Jeremy!D29=$D29)*ISNUMBER(Jeremy!E29)*(ABS(Jeremy!E29-$E29)&lt;VisitHrs/24)+(Jeremy!F29=$D29)*ISNUMBER(Jeremy!G29)*(ABS(Jeremy!G29-$E29)&lt;VisitHrs/24)+('Test Patient'!B29=$D29)*ISNUMBER('Test Patient'!C29)*(ABS('Test Patient'!C29-$E29)&lt;VisitHrs/24)+('Test Patient'!D29=$D29)*ISNUMBER('Test Patient'!E29)*(ABS('Test Patient'!E29-$E29)&lt;VisitHrs/24)+('Test Patient'!F29=$D29)*ISNUMBER('Test Patient'!G29)*(ABS('Test Patient'!G29-$E29)&lt;VisitHrs/24))-1)+('Anita Klesch'!$B29=$D29)*($E29&lt;DayEnd)*($E29+VisitHrs/24&gt;DayStart)+('Anita Klesch'!$C29=$D29)*((($E29+VisitHrs/24&gt;DayEnd)+($E29&lt;DayStart))&gt;0)+('Test Patient 2'!$B29=$D29)*($E29&lt;DayEnd)*($E29+VisitHrs/24&gt;DayStart)+('Test Patient 2'!$C29=$D29)*((($E29+VisitHrs/24&gt;DayEnd)+($E29&lt;DayStart))&gt;0)&gt;=1,1,0),0)</f>
        <v>0</v>
      </c>
      <c r="L29" s="12">
        <f>IF(AND($H29=1,$F29&lt;&gt;"",ISNUMBER($G29)),IF(((('Lucy Levene'!B29=$F29)*ISNUMBER('Lucy Levene'!C29)*(ABS('Lucy Levene'!C29-$G29)&lt;VisitHrs/24)+('Lucy Levene'!D29=$F29)*ISNUMBER('Lucy Levene'!E29)*(ABS('Lucy Levene'!E29-$G29)&lt;VisitHrs/24)+('Lucy Levene'!F29=$F29)*ISNUMBER('Lucy Levene'!G29)*(ABS('Lucy Levene'!G29-$G29)&lt;VisitHrs/24)+('Tom Bock'!B29=$F29)*ISNUMBER('Tom Bock'!C29)*(ABS('Tom Bock'!C29-$G29)&lt;VisitHrs/24)+('Tom Bock'!D29=$F29)*ISNUMBER('Tom Bock'!E29)*(ABS('Tom Bock'!E29-$G29)&lt;VisitHrs/24)+('Tom Bock'!F29=$F29)*ISNUMBER('Tom Bock'!G29)*(ABS('Tom Bock'!G29-$G29)&lt;VisitHrs/24)+(Jeremy!B29=$F29)*ISNUMBER(Jeremy!C29)*(ABS(Jeremy!C29-$G29)&lt;VisitHrs/24)+(Jeremy!D29=$F29)*ISNUMBER(Jeremy!E29)*(ABS(Jeremy!E29-$G29)&lt;VisitHrs/24)+(Jeremy!F29=$F29)*ISNUMBER(Jeremy!G29)*(ABS(Jeremy!G29-$G29)&lt;VisitHrs/24)+('Test Patient'!B29=$F29)*ISNUMBER('Test Patient'!C29)*(ABS('Test Patient'!C29-$G29)&lt;VisitHrs/24)+('Test Patient'!D29=$F29)*ISNUMBER('Test Patient'!E29)*(ABS('Test Patient'!E29-$G29)&lt;VisitHrs/24)+('Test Patient'!F29=$F29)*ISNUMBER('Test Patient'!G29)*(ABS('Test Patient'!G29-$G29)&lt;VisitHrs/24))-1)+('Anita Klesch'!$B29=$F29)*($G29&lt;DayEnd)*($G29+VisitHrs/24&gt;DayStart)+('Anita Klesch'!$C29=$F29)*((($G29+VisitHrs/24&gt;DayEnd)+($G29&lt;DayStart))&gt;0)+('Test Patient 2'!$B29=$F29)*($G29&lt;DayEnd)*($G29+VisitHrs/24&gt;DayStart)+('Test Patient 2'!$C29=$F29)*((($G29+VisitHrs/24&gt;DayEnd)+($G29&lt;DayStart))&gt;0)&gt;=1,1,0),0)</f>
        <v>0</v>
      </c>
      <c r="M29" s="12">
        <f t="shared" si="2"/>
        <v>0</v>
      </c>
      <c r="N29" s="12">
        <f t="shared" si="3"/>
        <v>0</v>
      </c>
      <c r="O29" s="12">
        <f t="shared" si="4"/>
        <v>0</v>
      </c>
    </row>
    <row r="30" spans="1:15" x14ac:dyDescent="0.2">
      <c r="A30" s="2">
        <f t="shared" si="5"/>
        <v>46236</v>
      </c>
      <c r="B30" s="19"/>
      <c r="C30" s="25"/>
      <c r="D30" s="19"/>
      <c r="E30" s="25"/>
      <c r="F30" s="19"/>
      <c r="G30" s="25"/>
      <c r="H30" s="12">
        <f t="shared" si="0"/>
        <v>1</v>
      </c>
      <c r="I30" s="12">
        <f t="shared" si="1"/>
        <v>0</v>
      </c>
      <c r="J30" s="12">
        <f>IF(AND($H30=1,$B30&lt;&gt;"",ISNUMBER($C30)),IF(((('Lucy Levene'!B30=$B30)*ISNUMBER('Lucy Levene'!C30)*(ABS('Lucy Levene'!C30-$C30)&lt;VisitHrs/24)+('Lucy Levene'!D30=$B30)*ISNUMBER('Lucy Levene'!E30)*(ABS('Lucy Levene'!E30-$C30)&lt;VisitHrs/24)+('Lucy Levene'!F30=$B30)*ISNUMBER('Lucy Levene'!G30)*(ABS('Lucy Levene'!G30-$C30)&lt;VisitHrs/24)+('Tom Bock'!B30=$B30)*ISNUMBER('Tom Bock'!C30)*(ABS('Tom Bock'!C30-$C30)&lt;VisitHrs/24)+('Tom Bock'!D30=$B30)*ISNUMBER('Tom Bock'!E30)*(ABS('Tom Bock'!E30-$C30)&lt;VisitHrs/24)+('Tom Bock'!F30=$B30)*ISNUMBER('Tom Bock'!G30)*(ABS('Tom Bock'!G30-$C30)&lt;VisitHrs/24)+(Jeremy!B30=$B30)*ISNUMBER(Jeremy!C30)*(ABS(Jeremy!C30-$C30)&lt;VisitHrs/24)+(Jeremy!D30=$B30)*ISNUMBER(Jeremy!E30)*(ABS(Jeremy!E30-$C30)&lt;VisitHrs/24)+(Jeremy!F30=$B30)*ISNUMBER(Jeremy!G30)*(ABS(Jeremy!G30-$C30)&lt;VisitHrs/24)+('Test Patient'!B30=$B30)*ISNUMBER('Test Patient'!C30)*(ABS('Test Patient'!C30-$C30)&lt;VisitHrs/24)+('Test Patient'!D30=$B30)*ISNUMBER('Test Patient'!E30)*(ABS('Test Patient'!E30-$C30)&lt;VisitHrs/24)+('Test Patient'!F30=$B30)*ISNUMBER('Test Patient'!G30)*(ABS('Test Patient'!G30-$C30)&lt;VisitHrs/24))-1)+('Anita Klesch'!$B30=$B30)*($C30&lt;DayEnd)*($C30+VisitHrs/24&gt;DayStart)+('Anita Klesch'!$C30=$B30)*((($C30+VisitHrs/24&gt;DayEnd)+($C30&lt;DayStart))&gt;0)+('Test Patient 2'!$B30=$B30)*($C30&lt;DayEnd)*($C30+VisitHrs/24&gt;DayStart)+('Test Patient 2'!$C30=$B30)*((($C30+VisitHrs/24&gt;DayEnd)+($C30&lt;DayStart))&gt;0)&gt;=1,1,0),0)</f>
        <v>0</v>
      </c>
      <c r="K30" s="12">
        <f>IF(AND($H30=1,$D30&lt;&gt;"",ISNUMBER($E30)),IF(((('Lucy Levene'!B30=$D30)*ISNUMBER('Lucy Levene'!C30)*(ABS('Lucy Levene'!C30-$E30)&lt;VisitHrs/24)+('Lucy Levene'!D30=$D30)*ISNUMBER('Lucy Levene'!E30)*(ABS('Lucy Levene'!E30-$E30)&lt;VisitHrs/24)+('Lucy Levene'!F30=$D30)*ISNUMBER('Lucy Levene'!G30)*(ABS('Lucy Levene'!G30-$E30)&lt;VisitHrs/24)+('Tom Bock'!B30=$D30)*ISNUMBER('Tom Bock'!C30)*(ABS('Tom Bock'!C30-$E30)&lt;VisitHrs/24)+('Tom Bock'!D30=$D30)*ISNUMBER('Tom Bock'!E30)*(ABS('Tom Bock'!E30-$E30)&lt;VisitHrs/24)+('Tom Bock'!F30=$D30)*ISNUMBER('Tom Bock'!G30)*(ABS('Tom Bock'!G30-$E30)&lt;VisitHrs/24)+(Jeremy!B30=$D30)*ISNUMBER(Jeremy!C30)*(ABS(Jeremy!C30-$E30)&lt;VisitHrs/24)+(Jeremy!D30=$D30)*ISNUMBER(Jeremy!E30)*(ABS(Jeremy!E30-$E30)&lt;VisitHrs/24)+(Jeremy!F30=$D30)*ISNUMBER(Jeremy!G30)*(ABS(Jeremy!G30-$E30)&lt;VisitHrs/24)+('Test Patient'!B30=$D30)*ISNUMBER('Test Patient'!C30)*(ABS('Test Patient'!C30-$E30)&lt;VisitHrs/24)+('Test Patient'!D30=$D30)*ISNUMBER('Test Patient'!E30)*(ABS('Test Patient'!E30-$E30)&lt;VisitHrs/24)+('Test Patient'!F30=$D30)*ISNUMBER('Test Patient'!G30)*(ABS('Test Patient'!G30-$E30)&lt;VisitHrs/24))-1)+('Anita Klesch'!$B30=$D30)*($E30&lt;DayEnd)*($E30+VisitHrs/24&gt;DayStart)+('Anita Klesch'!$C30=$D30)*((($E30+VisitHrs/24&gt;DayEnd)+($E30&lt;DayStart))&gt;0)+('Test Patient 2'!$B30=$D30)*($E30&lt;DayEnd)*($E30+VisitHrs/24&gt;DayStart)+('Test Patient 2'!$C30=$D30)*((($E30+VisitHrs/24&gt;DayEnd)+($E30&lt;DayStart))&gt;0)&gt;=1,1,0),0)</f>
        <v>0</v>
      </c>
      <c r="L30" s="12">
        <f>IF(AND($H30=1,$F30&lt;&gt;"",ISNUMBER($G30)),IF(((('Lucy Levene'!B30=$F30)*ISNUMBER('Lucy Levene'!C30)*(ABS('Lucy Levene'!C30-$G30)&lt;VisitHrs/24)+('Lucy Levene'!D30=$F30)*ISNUMBER('Lucy Levene'!E30)*(ABS('Lucy Levene'!E30-$G30)&lt;VisitHrs/24)+('Lucy Levene'!F30=$F30)*ISNUMBER('Lucy Levene'!G30)*(ABS('Lucy Levene'!G30-$G30)&lt;VisitHrs/24)+('Tom Bock'!B30=$F30)*ISNUMBER('Tom Bock'!C30)*(ABS('Tom Bock'!C30-$G30)&lt;VisitHrs/24)+('Tom Bock'!D30=$F30)*ISNUMBER('Tom Bock'!E30)*(ABS('Tom Bock'!E30-$G30)&lt;VisitHrs/24)+('Tom Bock'!F30=$F30)*ISNUMBER('Tom Bock'!G30)*(ABS('Tom Bock'!G30-$G30)&lt;VisitHrs/24)+(Jeremy!B30=$F30)*ISNUMBER(Jeremy!C30)*(ABS(Jeremy!C30-$G30)&lt;VisitHrs/24)+(Jeremy!D30=$F30)*ISNUMBER(Jeremy!E30)*(ABS(Jeremy!E30-$G30)&lt;VisitHrs/24)+(Jeremy!F30=$F30)*ISNUMBER(Jeremy!G30)*(ABS(Jeremy!G30-$G30)&lt;VisitHrs/24)+('Test Patient'!B30=$F30)*ISNUMBER('Test Patient'!C30)*(ABS('Test Patient'!C30-$G30)&lt;VisitHrs/24)+('Test Patient'!D30=$F30)*ISNUMBER('Test Patient'!E30)*(ABS('Test Patient'!E30-$G30)&lt;VisitHrs/24)+('Test Patient'!F30=$F30)*ISNUMBER('Test Patient'!G30)*(ABS('Test Patient'!G30-$G30)&lt;VisitHrs/24))-1)+('Anita Klesch'!$B30=$F30)*($G30&lt;DayEnd)*($G30+VisitHrs/24&gt;DayStart)+('Anita Klesch'!$C30=$F30)*((($G30+VisitHrs/24&gt;DayEnd)+($G30&lt;DayStart))&gt;0)+('Test Patient 2'!$B30=$F30)*($G30&lt;DayEnd)*($G30+VisitHrs/24&gt;DayStart)+('Test Patient 2'!$C30=$F30)*((($G30+VisitHrs/24&gt;DayEnd)+($G30&lt;DayStart))&gt;0)&gt;=1,1,0),0)</f>
        <v>0</v>
      </c>
      <c r="M30" s="12">
        <f t="shared" si="2"/>
        <v>0</v>
      </c>
      <c r="N30" s="12">
        <f t="shared" si="3"/>
        <v>0</v>
      </c>
      <c r="O30" s="12">
        <f t="shared" si="4"/>
        <v>0</v>
      </c>
    </row>
    <row r="31" spans="1:15" x14ac:dyDescent="0.2">
      <c r="A31" s="2">
        <f t="shared" si="5"/>
        <v>46237</v>
      </c>
      <c r="B31" s="19"/>
      <c r="C31" s="25"/>
      <c r="D31" s="19"/>
      <c r="E31" s="25"/>
      <c r="F31" s="19"/>
      <c r="G31" s="25"/>
      <c r="H31" s="12">
        <f t="shared" si="0"/>
        <v>1</v>
      </c>
      <c r="I31" s="12">
        <f t="shared" si="1"/>
        <v>0</v>
      </c>
      <c r="J31" s="12">
        <f>IF(AND($H31=1,$B31&lt;&gt;"",ISNUMBER($C31)),IF(((('Lucy Levene'!B31=$B31)*ISNUMBER('Lucy Levene'!C31)*(ABS('Lucy Levene'!C31-$C31)&lt;VisitHrs/24)+('Lucy Levene'!D31=$B31)*ISNUMBER('Lucy Levene'!E31)*(ABS('Lucy Levene'!E31-$C31)&lt;VisitHrs/24)+('Lucy Levene'!F31=$B31)*ISNUMBER('Lucy Levene'!G31)*(ABS('Lucy Levene'!G31-$C31)&lt;VisitHrs/24)+('Tom Bock'!B31=$B31)*ISNUMBER('Tom Bock'!C31)*(ABS('Tom Bock'!C31-$C31)&lt;VisitHrs/24)+('Tom Bock'!D31=$B31)*ISNUMBER('Tom Bock'!E31)*(ABS('Tom Bock'!E31-$C31)&lt;VisitHrs/24)+('Tom Bock'!F31=$B31)*ISNUMBER('Tom Bock'!G31)*(ABS('Tom Bock'!G31-$C31)&lt;VisitHrs/24)+(Jeremy!B31=$B31)*ISNUMBER(Jeremy!C31)*(ABS(Jeremy!C31-$C31)&lt;VisitHrs/24)+(Jeremy!D31=$B31)*ISNUMBER(Jeremy!E31)*(ABS(Jeremy!E31-$C31)&lt;VisitHrs/24)+(Jeremy!F31=$B31)*ISNUMBER(Jeremy!G31)*(ABS(Jeremy!G31-$C31)&lt;VisitHrs/24)+('Test Patient'!B31=$B31)*ISNUMBER('Test Patient'!C31)*(ABS('Test Patient'!C31-$C31)&lt;VisitHrs/24)+('Test Patient'!D31=$B31)*ISNUMBER('Test Patient'!E31)*(ABS('Test Patient'!E31-$C31)&lt;VisitHrs/24)+('Test Patient'!F31=$B31)*ISNUMBER('Test Patient'!G31)*(ABS('Test Patient'!G31-$C31)&lt;VisitHrs/24))-1)+('Anita Klesch'!$B31=$B31)*($C31&lt;DayEnd)*($C31+VisitHrs/24&gt;DayStart)+('Anita Klesch'!$C31=$B31)*((($C31+VisitHrs/24&gt;DayEnd)+($C31&lt;DayStart))&gt;0)+('Test Patient 2'!$B31=$B31)*($C31&lt;DayEnd)*($C31+VisitHrs/24&gt;DayStart)+('Test Patient 2'!$C31=$B31)*((($C31+VisitHrs/24&gt;DayEnd)+($C31&lt;DayStart))&gt;0)&gt;=1,1,0),0)</f>
        <v>0</v>
      </c>
      <c r="K31" s="12">
        <f>IF(AND($H31=1,$D31&lt;&gt;"",ISNUMBER($E31)),IF(((('Lucy Levene'!B31=$D31)*ISNUMBER('Lucy Levene'!C31)*(ABS('Lucy Levene'!C31-$E31)&lt;VisitHrs/24)+('Lucy Levene'!D31=$D31)*ISNUMBER('Lucy Levene'!E31)*(ABS('Lucy Levene'!E31-$E31)&lt;VisitHrs/24)+('Lucy Levene'!F31=$D31)*ISNUMBER('Lucy Levene'!G31)*(ABS('Lucy Levene'!G31-$E31)&lt;VisitHrs/24)+('Tom Bock'!B31=$D31)*ISNUMBER('Tom Bock'!C31)*(ABS('Tom Bock'!C31-$E31)&lt;VisitHrs/24)+('Tom Bock'!D31=$D31)*ISNUMBER('Tom Bock'!E31)*(ABS('Tom Bock'!E31-$E31)&lt;VisitHrs/24)+('Tom Bock'!F31=$D31)*ISNUMBER('Tom Bock'!G31)*(ABS('Tom Bock'!G31-$E31)&lt;VisitHrs/24)+(Jeremy!B31=$D31)*ISNUMBER(Jeremy!C31)*(ABS(Jeremy!C31-$E31)&lt;VisitHrs/24)+(Jeremy!D31=$D31)*ISNUMBER(Jeremy!E31)*(ABS(Jeremy!E31-$E31)&lt;VisitHrs/24)+(Jeremy!F31=$D31)*ISNUMBER(Jeremy!G31)*(ABS(Jeremy!G31-$E31)&lt;VisitHrs/24)+('Test Patient'!B31=$D31)*ISNUMBER('Test Patient'!C31)*(ABS('Test Patient'!C31-$E31)&lt;VisitHrs/24)+('Test Patient'!D31=$D31)*ISNUMBER('Test Patient'!E31)*(ABS('Test Patient'!E31-$E31)&lt;VisitHrs/24)+('Test Patient'!F31=$D31)*ISNUMBER('Test Patient'!G31)*(ABS('Test Patient'!G31-$E31)&lt;VisitHrs/24))-1)+('Anita Klesch'!$B31=$D31)*($E31&lt;DayEnd)*($E31+VisitHrs/24&gt;DayStart)+('Anita Klesch'!$C31=$D31)*((($E31+VisitHrs/24&gt;DayEnd)+($E31&lt;DayStart))&gt;0)+('Test Patient 2'!$B31=$D31)*($E31&lt;DayEnd)*($E31+VisitHrs/24&gt;DayStart)+('Test Patient 2'!$C31=$D31)*((($E31+VisitHrs/24&gt;DayEnd)+($E31&lt;DayStart))&gt;0)&gt;=1,1,0),0)</f>
        <v>0</v>
      </c>
      <c r="L31" s="12">
        <f>IF(AND($H31=1,$F31&lt;&gt;"",ISNUMBER($G31)),IF(((('Lucy Levene'!B31=$F31)*ISNUMBER('Lucy Levene'!C31)*(ABS('Lucy Levene'!C31-$G31)&lt;VisitHrs/24)+('Lucy Levene'!D31=$F31)*ISNUMBER('Lucy Levene'!E31)*(ABS('Lucy Levene'!E31-$G31)&lt;VisitHrs/24)+('Lucy Levene'!F31=$F31)*ISNUMBER('Lucy Levene'!G31)*(ABS('Lucy Levene'!G31-$G31)&lt;VisitHrs/24)+('Tom Bock'!B31=$F31)*ISNUMBER('Tom Bock'!C31)*(ABS('Tom Bock'!C31-$G31)&lt;VisitHrs/24)+('Tom Bock'!D31=$F31)*ISNUMBER('Tom Bock'!E31)*(ABS('Tom Bock'!E31-$G31)&lt;VisitHrs/24)+('Tom Bock'!F31=$F31)*ISNUMBER('Tom Bock'!G31)*(ABS('Tom Bock'!G31-$G31)&lt;VisitHrs/24)+(Jeremy!B31=$F31)*ISNUMBER(Jeremy!C31)*(ABS(Jeremy!C31-$G31)&lt;VisitHrs/24)+(Jeremy!D31=$F31)*ISNUMBER(Jeremy!E31)*(ABS(Jeremy!E31-$G31)&lt;VisitHrs/24)+(Jeremy!F31=$F31)*ISNUMBER(Jeremy!G31)*(ABS(Jeremy!G31-$G31)&lt;VisitHrs/24)+('Test Patient'!B31=$F31)*ISNUMBER('Test Patient'!C31)*(ABS('Test Patient'!C31-$G31)&lt;VisitHrs/24)+('Test Patient'!D31=$F31)*ISNUMBER('Test Patient'!E31)*(ABS('Test Patient'!E31-$G31)&lt;VisitHrs/24)+('Test Patient'!F31=$F31)*ISNUMBER('Test Patient'!G31)*(ABS('Test Patient'!G31-$G31)&lt;VisitHrs/24))-1)+('Anita Klesch'!$B31=$F31)*($G31&lt;DayEnd)*($G31+VisitHrs/24&gt;DayStart)+('Anita Klesch'!$C31=$F31)*((($G31+VisitHrs/24&gt;DayEnd)+($G31&lt;DayStart))&gt;0)+('Test Patient 2'!$B31=$F31)*($G31&lt;DayEnd)*($G31+VisitHrs/24&gt;DayStart)+('Test Patient 2'!$C31=$F31)*((($G31+VisitHrs/24&gt;DayEnd)+($G31&lt;DayStart))&gt;0)&gt;=1,1,0),0)</f>
        <v>0</v>
      </c>
      <c r="M31" s="12">
        <f t="shared" si="2"/>
        <v>0</v>
      </c>
      <c r="N31" s="12">
        <f t="shared" si="3"/>
        <v>0</v>
      </c>
      <c r="O31" s="12">
        <f t="shared" si="4"/>
        <v>0</v>
      </c>
    </row>
    <row r="32" spans="1:15" x14ac:dyDescent="0.2">
      <c r="A32" s="2">
        <f t="shared" si="5"/>
        <v>46238</v>
      </c>
      <c r="B32" s="19"/>
      <c r="C32" s="25"/>
      <c r="D32" s="19"/>
      <c r="E32" s="25"/>
      <c r="F32" s="19"/>
      <c r="G32" s="25"/>
      <c r="H32" s="12">
        <f t="shared" si="0"/>
        <v>1</v>
      </c>
      <c r="I32" s="12">
        <f t="shared" si="1"/>
        <v>0</v>
      </c>
      <c r="J32" s="12">
        <f>IF(AND($H32=1,$B32&lt;&gt;"",ISNUMBER($C32)),IF(((('Lucy Levene'!B32=$B32)*ISNUMBER('Lucy Levene'!C32)*(ABS('Lucy Levene'!C32-$C32)&lt;VisitHrs/24)+('Lucy Levene'!D32=$B32)*ISNUMBER('Lucy Levene'!E32)*(ABS('Lucy Levene'!E32-$C32)&lt;VisitHrs/24)+('Lucy Levene'!F32=$B32)*ISNUMBER('Lucy Levene'!G32)*(ABS('Lucy Levene'!G32-$C32)&lt;VisitHrs/24)+('Tom Bock'!B32=$B32)*ISNUMBER('Tom Bock'!C32)*(ABS('Tom Bock'!C32-$C32)&lt;VisitHrs/24)+('Tom Bock'!D32=$B32)*ISNUMBER('Tom Bock'!E32)*(ABS('Tom Bock'!E32-$C32)&lt;VisitHrs/24)+('Tom Bock'!F32=$B32)*ISNUMBER('Tom Bock'!G32)*(ABS('Tom Bock'!G32-$C32)&lt;VisitHrs/24)+(Jeremy!B32=$B32)*ISNUMBER(Jeremy!C32)*(ABS(Jeremy!C32-$C32)&lt;VisitHrs/24)+(Jeremy!D32=$B32)*ISNUMBER(Jeremy!E32)*(ABS(Jeremy!E32-$C32)&lt;VisitHrs/24)+(Jeremy!F32=$B32)*ISNUMBER(Jeremy!G32)*(ABS(Jeremy!G32-$C32)&lt;VisitHrs/24)+('Test Patient'!B32=$B32)*ISNUMBER('Test Patient'!C32)*(ABS('Test Patient'!C32-$C32)&lt;VisitHrs/24)+('Test Patient'!D32=$B32)*ISNUMBER('Test Patient'!E32)*(ABS('Test Patient'!E32-$C32)&lt;VisitHrs/24)+('Test Patient'!F32=$B32)*ISNUMBER('Test Patient'!G32)*(ABS('Test Patient'!G32-$C32)&lt;VisitHrs/24))-1)+('Anita Klesch'!$B32=$B32)*($C32&lt;DayEnd)*($C32+VisitHrs/24&gt;DayStart)+('Anita Klesch'!$C32=$B32)*((($C32+VisitHrs/24&gt;DayEnd)+($C32&lt;DayStart))&gt;0)+('Test Patient 2'!$B32=$B32)*($C32&lt;DayEnd)*($C32+VisitHrs/24&gt;DayStart)+('Test Patient 2'!$C32=$B32)*((($C32+VisitHrs/24&gt;DayEnd)+($C32&lt;DayStart))&gt;0)&gt;=1,1,0),0)</f>
        <v>0</v>
      </c>
      <c r="K32" s="12">
        <f>IF(AND($H32=1,$D32&lt;&gt;"",ISNUMBER($E32)),IF(((('Lucy Levene'!B32=$D32)*ISNUMBER('Lucy Levene'!C32)*(ABS('Lucy Levene'!C32-$E32)&lt;VisitHrs/24)+('Lucy Levene'!D32=$D32)*ISNUMBER('Lucy Levene'!E32)*(ABS('Lucy Levene'!E32-$E32)&lt;VisitHrs/24)+('Lucy Levene'!F32=$D32)*ISNUMBER('Lucy Levene'!G32)*(ABS('Lucy Levene'!G32-$E32)&lt;VisitHrs/24)+('Tom Bock'!B32=$D32)*ISNUMBER('Tom Bock'!C32)*(ABS('Tom Bock'!C32-$E32)&lt;VisitHrs/24)+('Tom Bock'!D32=$D32)*ISNUMBER('Tom Bock'!E32)*(ABS('Tom Bock'!E32-$E32)&lt;VisitHrs/24)+('Tom Bock'!F32=$D32)*ISNUMBER('Tom Bock'!G32)*(ABS('Tom Bock'!G32-$E32)&lt;VisitHrs/24)+(Jeremy!B32=$D32)*ISNUMBER(Jeremy!C32)*(ABS(Jeremy!C32-$E32)&lt;VisitHrs/24)+(Jeremy!D32=$D32)*ISNUMBER(Jeremy!E32)*(ABS(Jeremy!E32-$E32)&lt;VisitHrs/24)+(Jeremy!F32=$D32)*ISNUMBER(Jeremy!G32)*(ABS(Jeremy!G32-$E32)&lt;VisitHrs/24)+('Test Patient'!B32=$D32)*ISNUMBER('Test Patient'!C32)*(ABS('Test Patient'!C32-$E32)&lt;VisitHrs/24)+('Test Patient'!D32=$D32)*ISNUMBER('Test Patient'!E32)*(ABS('Test Patient'!E32-$E32)&lt;VisitHrs/24)+('Test Patient'!F32=$D32)*ISNUMBER('Test Patient'!G32)*(ABS('Test Patient'!G32-$E32)&lt;VisitHrs/24))-1)+('Anita Klesch'!$B32=$D32)*($E32&lt;DayEnd)*($E32+VisitHrs/24&gt;DayStart)+('Anita Klesch'!$C32=$D32)*((($E32+VisitHrs/24&gt;DayEnd)+($E32&lt;DayStart))&gt;0)+('Test Patient 2'!$B32=$D32)*($E32&lt;DayEnd)*($E32+VisitHrs/24&gt;DayStart)+('Test Patient 2'!$C32=$D32)*((($E32+VisitHrs/24&gt;DayEnd)+($E32&lt;DayStart))&gt;0)&gt;=1,1,0),0)</f>
        <v>0</v>
      </c>
      <c r="L32" s="12">
        <f>IF(AND($H32=1,$F32&lt;&gt;"",ISNUMBER($G32)),IF(((('Lucy Levene'!B32=$F32)*ISNUMBER('Lucy Levene'!C32)*(ABS('Lucy Levene'!C32-$G32)&lt;VisitHrs/24)+('Lucy Levene'!D32=$F32)*ISNUMBER('Lucy Levene'!E32)*(ABS('Lucy Levene'!E32-$G32)&lt;VisitHrs/24)+('Lucy Levene'!F32=$F32)*ISNUMBER('Lucy Levene'!G32)*(ABS('Lucy Levene'!G32-$G32)&lt;VisitHrs/24)+('Tom Bock'!B32=$F32)*ISNUMBER('Tom Bock'!C32)*(ABS('Tom Bock'!C32-$G32)&lt;VisitHrs/24)+('Tom Bock'!D32=$F32)*ISNUMBER('Tom Bock'!E32)*(ABS('Tom Bock'!E32-$G32)&lt;VisitHrs/24)+('Tom Bock'!F32=$F32)*ISNUMBER('Tom Bock'!G32)*(ABS('Tom Bock'!G32-$G32)&lt;VisitHrs/24)+(Jeremy!B32=$F32)*ISNUMBER(Jeremy!C32)*(ABS(Jeremy!C32-$G32)&lt;VisitHrs/24)+(Jeremy!D32=$F32)*ISNUMBER(Jeremy!E32)*(ABS(Jeremy!E32-$G32)&lt;VisitHrs/24)+(Jeremy!F32=$F32)*ISNUMBER(Jeremy!G32)*(ABS(Jeremy!G32-$G32)&lt;VisitHrs/24)+('Test Patient'!B32=$F32)*ISNUMBER('Test Patient'!C32)*(ABS('Test Patient'!C32-$G32)&lt;VisitHrs/24)+('Test Patient'!D32=$F32)*ISNUMBER('Test Patient'!E32)*(ABS('Test Patient'!E32-$G32)&lt;VisitHrs/24)+('Test Patient'!F32=$F32)*ISNUMBER('Test Patient'!G32)*(ABS('Test Patient'!G32-$G32)&lt;VisitHrs/24))-1)+('Anita Klesch'!$B32=$F32)*($G32&lt;DayEnd)*($G32+VisitHrs/24&gt;DayStart)+('Anita Klesch'!$C32=$F32)*((($G32+VisitHrs/24&gt;DayEnd)+($G32&lt;DayStart))&gt;0)+('Test Patient 2'!$B32=$F32)*($G32&lt;DayEnd)*($G32+VisitHrs/24&gt;DayStart)+('Test Patient 2'!$C32=$F32)*((($G32+VisitHrs/24&gt;DayEnd)+($G32&lt;DayStart))&gt;0)&gt;=1,1,0),0)</f>
        <v>0</v>
      </c>
      <c r="M32" s="12">
        <f t="shared" si="2"/>
        <v>0</v>
      </c>
      <c r="N32" s="12">
        <f t="shared" si="3"/>
        <v>0</v>
      </c>
      <c r="O32" s="12">
        <f t="shared" si="4"/>
        <v>0</v>
      </c>
    </row>
    <row r="33" spans="1:15" x14ac:dyDescent="0.2">
      <c r="A33" s="2">
        <f t="shared" si="5"/>
        <v>46239</v>
      </c>
      <c r="B33" s="19"/>
      <c r="C33" s="25"/>
      <c r="D33" s="19"/>
      <c r="E33" s="25"/>
      <c r="F33" s="19"/>
      <c r="G33" s="25"/>
      <c r="H33" s="12">
        <f t="shared" si="0"/>
        <v>1</v>
      </c>
      <c r="I33" s="12">
        <f t="shared" si="1"/>
        <v>0</v>
      </c>
      <c r="J33" s="12">
        <f>IF(AND($H33=1,$B33&lt;&gt;"",ISNUMBER($C33)),IF(((('Lucy Levene'!B33=$B33)*ISNUMBER('Lucy Levene'!C33)*(ABS('Lucy Levene'!C33-$C33)&lt;VisitHrs/24)+('Lucy Levene'!D33=$B33)*ISNUMBER('Lucy Levene'!E33)*(ABS('Lucy Levene'!E33-$C33)&lt;VisitHrs/24)+('Lucy Levene'!F33=$B33)*ISNUMBER('Lucy Levene'!G33)*(ABS('Lucy Levene'!G33-$C33)&lt;VisitHrs/24)+('Tom Bock'!B33=$B33)*ISNUMBER('Tom Bock'!C33)*(ABS('Tom Bock'!C33-$C33)&lt;VisitHrs/24)+('Tom Bock'!D33=$B33)*ISNUMBER('Tom Bock'!E33)*(ABS('Tom Bock'!E33-$C33)&lt;VisitHrs/24)+('Tom Bock'!F33=$B33)*ISNUMBER('Tom Bock'!G33)*(ABS('Tom Bock'!G33-$C33)&lt;VisitHrs/24)+(Jeremy!B33=$B33)*ISNUMBER(Jeremy!C33)*(ABS(Jeremy!C33-$C33)&lt;VisitHrs/24)+(Jeremy!D33=$B33)*ISNUMBER(Jeremy!E33)*(ABS(Jeremy!E33-$C33)&lt;VisitHrs/24)+(Jeremy!F33=$B33)*ISNUMBER(Jeremy!G33)*(ABS(Jeremy!G33-$C33)&lt;VisitHrs/24)+('Test Patient'!B33=$B33)*ISNUMBER('Test Patient'!C33)*(ABS('Test Patient'!C33-$C33)&lt;VisitHrs/24)+('Test Patient'!D33=$B33)*ISNUMBER('Test Patient'!E33)*(ABS('Test Patient'!E33-$C33)&lt;VisitHrs/24)+('Test Patient'!F33=$B33)*ISNUMBER('Test Patient'!G33)*(ABS('Test Patient'!G33-$C33)&lt;VisitHrs/24))-1)+('Anita Klesch'!$B33=$B33)*($C33&lt;DayEnd)*($C33+VisitHrs/24&gt;DayStart)+('Anita Klesch'!$C33=$B33)*((($C33+VisitHrs/24&gt;DayEnd)+($C33&lt;DayStart))&gt;0)+('Test Patient 2'!$B33=$B33)*($C33&lt;DayEnd)*($C33+VisitHrs/24&gt;DayStart)+('Test Patient 2'!$C33=$B33)*((($C33+VisitHrs/24&gt;DayEnd)+($C33&lt;DayStart))&gt;0)&gt;=1,1,0),0)</f>
        <v>0</v>
      </c>
      <c r="K33" s="12">
        <f>IF(AND($H33=1,$D33&lt;&gt;"",ISNUMBER($E33)),IF(((('Lucy Levene'!B33=$D33)*ISNUMBER('Lucy Levene'!C33)*(ABS('Lucy Levene'!C33-$E33)&lt;VisitHrs/24)+('Lucy Levene'!D33=$D33)*ISNUMBER('Lucy Levene'!E33)*(ABS('Lucy Levene'!E33-$E33)&lt;VisitHrs/24)+('Lucy Levene'!F33=$D33)*ISNUMBER('Lucy Levene'!G33)*(ABS('Lucy Levene'!G33-$E33)&lt;VisitHrs/24)+('Tom Bock'!B33=$D33)*ISNUMBER('Tom Bock'!C33)*(ABS('Tom Bock'!C33-$E33)&lt;VisitHrs/24)+('Tom Bock'!D33=$D33)*ISNUMBER('Tom Bock'!E33)*(ABS('Tom Bock'!E33-$E33)&lt;VisitHrs/24)+('Tom Bock'!F33=$D33)*ISNUMBER('Tom Bock'!G33)*(ABS('Tom Bock'!G33-$E33)&lt;VisitHrs/24)+(Jeremy!B33=$D33)*ISNUMBER(Jeremy!C33)*(ABS(Jeremy!C33-$E33)&lt;VisitHrs/24)+(Jeremy!D33=$D33)*ISNUMBER(Jeremy!E33)*(ABS(Jeremy!E33-$E33)&lt;VisitHrs/24)+(Jeremy!F33=$D33)*ISNUMBER(Jeremy!G33)*(ABS(Jeremy!G33-$E33)&lt;VisitHrs/24)+('Test Patient'!B33=$D33)*ISNUMBER('Test Patient'!C33)*(ABS('Test Patient'!C33-$E33)&lt;VisitHrs/24)+('Test Patient'!D33=$D33)*ISNUMBER('Test Patient'!E33)*(ABS('Test Patient'!E33-$E33)&lt;VisitHrs/24)+('Test Patient'!F33=$D33)*ISNUMBER('Test Patient'!G33)*(ABS('Test Patient'!G33-$E33)&lt;VisitHrs/24))-1)+('Anita Klesch'!$B33=$D33)*($E33&lt;DayEnd)*($E33+VisitHrs/24&gt;DayStart)+('Anita Klesch'!$C33=$D33)*((($E33+VisitHrs/24&gt;DayEnd)+($E33&lt;DayStart))&gt;0)+('Test Patient 2'!$B33=$D33)*($E33&lt;DayEnd)*($E33+VisitHrs/24&gt;DayStart)+('Test Patient 2'!$C33=$D33)*((($E33+VisitHrs/24&gt;DayEnd)+($E33&lt;DayStart))&gt;0)&gt;=1,1,0),0)</f>
        <v>0</v>
      </c>
      <c r="L33" s="12">
        <f>IF(AND($H33=1,$F33&lt;&gt;"",ISNUMBER($G33)),IF(((('Lucy Levene'!B33=$F33)*ISNUMBER('Lucy Levene'!C33)*(ABS('Lucy Levene'!C33-$G33)&lt;VisitHrs/24)+('Lucy Levene'!D33=$F33)*ISNUMBER('Lucy Levene'!E33)*(ABS('Lucy Levene'!E33-$G33)&lt;VisitHrs/24)+('Lucy Levene'!F33=$F33)*ISNUMBER('Lucy Levene'!G33)*(ABS('Lucy Levene'!G33-$G33)&lt;VisitHrs/24)+('Tom Bock'!B33=$F33)*ISNUMBER('Tom Bock'!C33)*(ABS('Tom Bock'!C33-$G33)&lt;VisitHrs/24)+('Tom Bock'!D33=$F33)*ISNUMBER('Tom Bock'!E33)*(ABS('Tom Bock'!E33-$G33)&lt;VisitHrs/24)+('Tom Bock'!F33=$F33)*ISNUMBER('Tom Bock'!G33)*(ABS('Tom Bock'!G33-$G33)&lt;VisitHrs/24)+(Jeremy!B33=$F33)*ISNUMBER(Jeremy!C33)*(ABS(Jeremy!C33-$G33)&lt;VisitHrs/24)+(Jeremy!D33=$F33)*ISNUMBER(Jeremy!E33)*(ABS(Jeremy!E33-$G33)&lt;VisitHrs/24)+(Jeremy!F33=$F33)*ISNUMBER(Jeremy!G33)*(ABS(Jeremy!G33-$G33)&lt;VisitHrs/24)+('Test Patient'!B33=$F33)*ISNUMBER('Test Patient'!C33)*(ABS('Test Patient'!C33-$G33)&lt;VisitHrs/24)+('Test Patient'!D33=$F33)*ISNUMBER('Test Patient'!E33)*(ABS('Test Patient'!E33-$G33)&lt;VisitHrs/24)+('Test Patient'!F33=$F33)*ISNUMBER('Test Patient'!G33)*(ABS('Test Patient'!G33-$G33)&lt;VisitHrs/24))-1)+('Anita Klesch'!$B33=$F33)*($G33&lt;DayEnd)*($G33+VisitHrs/24&gt;DayStart)+('Anita Klesch'!$C33=$F33)*((($G33+VisitHrs/24&gt;DayEnd)+($G33&lt;DayStart))&gt;0)+('Test Patient 2'!$B33=$F33)*($G33&lt;DayEnd)*($G33+VisitHrs/24&gt;DayStart)+('Test Patient 2'!$C33=$F33)*((($G33+VisitHrs/24&gt;DayEnd)+($G33&lt;DayStart))&gt;0)&gt;=1,1,0),0)</f>
        <v>0</v>
      </c>
      <c r="M33" s="12">
        <f t="shared" si="2"/>
        <v>0</v>
      </c>
      <c r="N33" s="12">
        <f t="shared" si="3"/>
        <v>0</v>
      </c>
      <c r="O33" s="12">
        <f t="shared" si="4"/>
        <v>0</v>
      </c>
    </row>
    <row r="34" spans="1:15" x14ac:dyDescent="0.2">
      <c r="A34" s="2">
        <f t="shared" si="5"/>
        <v>46240</v>
      </c>
      <c r="B34" s="19"/>
      <c r="C34" s="25"/>
      <c r="D34" s="19"/>
      <c r="E34" s="25"/>
      <c r="F34" s="19"/>
      <c r="G34" s="25"/>
      <c r="H34" s="12">
        <f t="shared" si="0"/>
        <v>1</v>
      </c>
      <c r="I34" s="12">
        <f t="shared" si="1"/>
        <v>0</v>
      </c>
      <c r="J34" s="12">
        <f>IF(AND($H34=1,$B34&lt;&gt;"",ISNUMBER($C34)),IF(((('Lucy Levene'!B34=$B34)*ISNUMBER('Lucy Levene'!C34)*(ABS('Lucy Levene'!C34-$C34)&lt;VisitHrs/24)+('Lucy Levene'!D34=$B34)*ISNUMBER('Lucy Levene'!E34)*(ABS('Lucy Levene'!E34-$C34)&lt;VisitHrs/24)+('Lucy Levene'!F34=$B34)*ISNUMBER('Lucy Levene'!G34)*(ABS('Lucy Levene'!G34-$C34)&lt;VisitHrs/24)+('Tom Bock'!B34=$B34)*ISNUMBER('Tom Bock'!C34)*(ABS('Tom Bock'!C34-$C34)&lt;VisitHrs/24)+('Tom Bock'!D34=$B34)*ISNUMBER('Tom Bock'!E34)*(ABS('Tom Bock'!E34-$C34)&lt;VisitHrs/24)+('Tom Bock'!F34=$B34)*ISNUMBER('Tom Bock'!G34)*(ABS('Tom Bock'!G34-$C34)&lt;VisitHrs/24)+(Jeremy!B34=$B34)*ISNUMBER(Jeremy!C34)*(ABS(Jeremy!C34-$C34)&lt;VisitHrs/24)+(Jeremy!D34=$B34)*ISNUMBER(Jeremy!E34)*(ABS(Jeremy!E34-$C34)&lt;VisitHrs/24)+(Jeremy!F34=$B34)*ISNUMBER(Jeremy!G34)*(ABS(Jeremy!G34-$C34)&lt;VisitHrs/24)+('Test Patient'!B34=$B34)*ISNUMBER('Test Patient'!C34)*(ABS('Test Patient'!C34-$C34)&lt;VisitHrs/24)+('Test Patient'!D34=$B34)*ISNUMBER('Test Patient'!E34)*(ABS('Test Patient'!E34-$C34)&lt;VisitHrs/24)+('Test Patient'!F34=$B34)*ISNUMBER('Test Patient'!G34)*(ABS('Test Patient'!G34-$C34)&lt;VisitHrs/24))-1)+('Anita Klesch'!$B34=$B34)*($C34&lt;DayEnd)*($C34+VisitHrs/24&gt;DayStart)+('Anita Klesch'!$C34=$B34)*((($C34+VisitHrs/24&gt;DayEnd)+($C34&lt;DayStart))&gt;0)+('Test Patient 2'!$B34=$B34)*($C34&lt;DayEnd)*($C34+VisitHrs/24&gt;DayStart)+('Test Patient 2'!$C34=$B34)*((($C34+VisitHrs/24&gt;DayEnd)+($C34&lt;DayStart))&gt;0)&gt;=1,1,0),0)</f>
        <v>0</v>
      </c>
      <c r="K34" s="12">
        <f>IF(AND($H34=1,$D34&lt;&gt;"",ISNUMBER($E34)),IF(((('Lucy Levene'!B34=$D34)*ISNUMBER('Lucy Levene'!C34)*(ABS('Lucy Levene'!C34-$E34)&lt;VisitHrs/24)+('Lucy Levene'!D34=$D34)*ISNUMBER('Lucy Levene'!E34)*(ABS('Lucy Levene'!E34-$E34)&lt;VisitHrs/24)+('Lucy Levene'!F34=$D34)*ISNUMBER('Lucy Levene'!G34)*(ABS('Lucy Levene'!G34-$E34)&lt;VisitHrs/24)+('Tom Bock'!B34=$D34)*ISNUMBER('Tom Bock'!C34)*(ABS('Tom Bock'!C34-$E34)&lt;VisitHrs/24)+('Tom Bock'!D34=$D34)*ISNUMBER('Tom Bock'!E34)*(ABS('Tom Bock'!E34-$E34)&lt;VisitHrs/24)+('Tom Bock'!F34=$D34)*ISNUMBER('Tom Bock'!G34)*(ABS('Tom Bock'!G34-$E34)&lt;VisitHrs/24)+(Jeremy!B34=$D34)*ISNUMBER(Jeremy!C34)*(ABS(Jeremy!C34-$E34)&lt;VisitHrs/24)+(Jeremy!D34=$D34)*ISNUMBER(Jeremy!E34)*(ABS(Jeremy!E34-$E34)&lt;VisitHrs/24)+(Jeremy!F34=$D34)*ISNUMBER(Jeremy!G34)*(ABS(Jeremy!G34-$E34)&lt;VisitHrs/24)+('Test Patient'!B34=$D34)*ISNUMBER('Test Patient'!C34)*(ABS('Test Patient'!C34-$E34)&lt;VisitHrs/24)+('Test Patient'!D34=$D34)*ISNUMBER('Test Patient'!E34)*(ABS('Test Patient'!E34-$E34)&lt;VisitHrs/24)+('Test Patient'!F34=$D34)*ISNUMBER('Test Patient'!G34)*(ABS('Test Patient'!G34-$E34)&lt;VisitHrs/24))-1)+('Anita Klesch'!$B34=$D34)*($E34&lt;DayEnd)*($E34+VisitHrs/24&gt;DayStart)+('Anita Klesch'!$C34=$D34)*((($E34+VisitHrs/24&gt;DayEnd)+($E34&lt;DayStart))&gt;0)+('Test Patient 2'!$B34=$D34)*($E34&lt;DayEnd)*($E34+VisitHrs/24&gt;DayStart)+('Test Patient 2'!$C34=$D34)*((($E34+VisitHrs/24&gt;DayEnd)+($E34&lt;DayStart))&gt;0)&gt;=1,1,0),0)</f>
        <v>0</v>
      </c>
      <c r="L34" s="12">
        <f>IF(AND($H34=1,$F34&lt;&gt;"",ISNUMBER($G34)),IF(((('Lucy Levene'!B34=$F34)*ISNUMBER('Lucy Levene'!C34)*(ABS('Lucy Levene'!C34-$G34)&lt;VisitHrs/24)+('Lucy Levene'!D34=$F34)*ISNUMBER('Lucy Levene'!E34)*(ABS('Lucy Levene'!E34-$G34)&lt;VisitHrs/24)+('Lucy Levene'!F34=$F34)*ISNUMBER('Lucy Levene'!G34)*(ABS('Lucy Levene'!G34-$G34)&lt;VisitHrs/24)+('Tom Bock'!B34=$F34)*ISNUMBER('Tom Bock'!C34)*(ABS('Tom Bock'!C34-$G34)&lt;VisitHrs/24)+('Tom Bock'!D34=$F34)*ISNUMBER('Tom Bock'!E34)*(ABS('Tom Bock'!E34-$G34)&lt;VisitHrs/24)+('Tom Bock'!F34=$F34)*ISNUMBER('Tom Bock'!G34)*(ABS('Tom Bock'!G34-$G34)&lt;VisitHrs/24)+(Jeremy!B34=$F34)*ISNUMBER(Jeremy!C34)*(ABS(Jeremy!C34-$G34)&lt;VisitHrs/24)+(Jeremy!D34=$F34)*ISNUMBER(Jeremy!E34)*(ABS(Jeremy!E34-$G34)&lt;VisitHrs/24)+(Jeremy!F34=$F34)*ISNUMBER(Jeremy!G34)*(ABS(Jeremy!G34-$G34)&lt;VisitHrs/24)+('Test Patient'!B34=$F34)*ISNUMBER('Test Patient'!C34)*(ABS('Test Patient'!C34-$G34)&lt;VisitHrs/24)+('Test Patient'!D34=$F34)*ISNUMBER('Test Patient'!E34)*(ABS('Test Patient'!E34-$G34)&lt;VisitHrs/24)+('Test Patient'!F34=$F34)*ISNUMBER('Test Patient'!G34)*(ABS('Test Patient'!G34-$G34)&lt;VisitHrs/24))-1)+('Anita Klesch'!$B34=$F34)*($G34&lt;DayEnd)*($G34+VisitHrs/24&gt;DayStart)+('Anita Klesch'!$C34=$F34)*((($G34+VisitHrs/24&gt;DayEnd)+($G34&lt;DayStart))&gt;0)+('Test Patient 2'!$B34=$F34)*($G34&lt;DayEnd)*($G34+VisitHrs/24&gt;DayStart)+('Test Patient 2'!$C34=$F34)*((($G34+VisitHrs/24&gt;DayEnd)+($G34&lt;DayStart))&gt;0)&gt;=1,1,0),0)</f>
        <v>0</v>
      </c>
      <c r="M34" s="12">
        <f t="shared" si="2"/>
        <v>0</v>
      </c>
      <c r="N34" s="12">
        <f t="shared" si="3"/>
        <v>0</v>
      </c>
      <c r="O34" s="12">
        <f t="shared" si="4"/>
        <v>0</v>
      </c>
    </row>
    <row r="35" spans="1:15" x14ac:dyDescent="0.2">
      <c r="A35" s="2">
        <f t="shared" si="5"/>
        <v>46241</v>
      </c>
      <c r="B35" s="19"/>
      <c r="C35" s="25"/>
      <c r="D35" s="19"/>
      <c r="E35" s="25"/>
      <c r="F35" s="19"/>
      <c r="G35" s="25"/>
      <c r="H35" s="12">
        <f t="shared" si="0"/>
        <v>1</v>
      </c>
      <c r="I35" s="12">
        <f t="shared" si="1"/>
        <v>0</v>
      </c>
      <c r="J35" s="12">
        <f>IF(AND($H35=1,$B35&lt;&gt;"",ISNUMBER($C35)),IF(((('Lucy Levene'!B35=$B35)*ISNUMBER('Lucy Levene'!C35)*(ABS('Lucy Levene'!C35-$C35)&lt;VisitHrs/24)+('Lucy Levene'!D35=$B35)*ISNUMBER('Lucy Levene'!E35)*(ABS('Lucy Levene'!E35-$C35)&lt;VisitHrs/24)+('Lucy Levene'!F35=$B35)*ISNUMBER('Lucy Levene'!G35)*(ABS('Lucy Levene'!G35-$C35)&lt;VisitHrs/24)+('Tom Bock'!B35=$B35)*ISNUMBER('Tom Bock'!C35)*(ABS('Tom Bock'!C35-$C35)&lt;VisitHrs/24)+('Tom Bock'!D35=$B35)*ISNUMBER('Tom Bock'!E35)*(ABS('Tom Bock'!E35-$C35)&lt;VisitHrs/24)+('Tom Bock'!F35=$B35)*ISNUMBER('Tom Bock'!G35)*(ABS('Tom Bock'!G35-$C35)&lt;VisitHrs/24)+(Jeremy!B35=$B35)*ISNUMBER(Jeremy!C35)*(ABS(Jeremy!C35-$C35)&lt;VisitHrs/24)+(Jeremy!D35=$B35)*ISNUMBER(Jeremy!E35)*(ABS(Jeremy!E35-$C35)&lt;VisitHrs/24)+(Jeremy!F35=$B35)*ISNUMBER(Jeremy!G35)*(ABS(Jeremy!G35-$C35)&lt;VisitHrs/24)+('Test Patient'!B35=$B35)*ISNUMBER('Test Patient'!C35)*(ABS('Test Patient'!C35-$C35)&lt;VisitHrs/24)+('Test Patient'!D35=$B35)*ISNUMBER('Test Patient'!E35)*(ABS('Test Patient'!E35-$C35)&lt;VisitHrs/24)+('Test Patient'!F35=$B35)*ISNUMBER('Test Patient'!G35)*(ABS('Test Patient'!G35-$C35)&lt;VisitHrs/24))-1)+('Anita Klesch'!$B35=$B35)*($C35&lt;DayEnd)*($C35+VisitHrs/24&gt;DayStart)+('Anita Klesch'!$C35=$B35)*((($C35+VisitHrs/24&gt;DayEnd)+($C35&lt;DayStart))&gt;0)+('Test Patient 2'!$B35=$B35)*($C35&lt;DayEnd)*($C35+VisitHrs/24&gt;DayStart)+('Test Patient 2'!$C35=$B35)*((($C35+VisitHrs/24&gt;DayEnd)+($C35&lt;DayStart))&gt;0)&gt;=1,1,0),0)</f>
        <v>0</v>
      </c>
      <c r="K35" s="12">
        <f>IF(AND($H35=1,$D35&lt;&gt;"",ISNUMBER($E35)),IF(((('Lucy Levene'!B35=$D35)*ISNUMBER('Lucy Levene'!C35)*(ABS('Lucy Levene'!C35-$E35)&lt;VisitHrs/24)+('Lucy Levene'!D35=$D35)*ISNUMBER('Lucy Levene'!E35)*(ABS('Lucy Levene'!E35-$E35)&lt;VisitHrs/24)+('Lucy Levene'!F35=$D35)*ISNUMBER('Lucy Levene'!G35)*(ABS('Lucy Levene'!G35-$E35)&lt;VisitHrs/24)+('Tom Bock'!B35=$D35)*ISNUMBER('Tom Bock'!C35)*(ABS('Tom Bock'!C35-$E35)&lt;VisitHrs/24)+('Tom Bock'!D35=$D35)*ISNUMBER('Tom Bock'!E35)*(ABS('Tom Bock'!E35-$E35)&lt;VisitHrs/24)+('Tom Bock'!F35=$D35)*ISNUMBER('Tom Bock'!G35)*(ABS('Tom Bock'!G35-$E35)&lt;VisitHrs/24)+(Jeremy!B35=$D35)*ISNUMBER(Jeremy!C35)*(ABS(Jeremy!C35-$E35)&lt;VisitHrs/24)+(Jeremy!D35=$D35)*ISNUMBER(Jeremy!E35)*(ABS(Jeremy!E35-$E35)&lt;VisitHrs/24)+(Jeremy!F35=$D35)*ISNUMBER(Jeremy!G35)*(ABS(Jeremy!G35-$E35)&lt;VisitHrs/24)+('Test Patient'!B35=$D35)*ISNUMBER('Test Patient'!C35)*(ABS('Test Patient'!C35-$E35)&lt;VisitHrs/24)+('Test Patient'!D35=$D35)*ISNUMBER('Test Patient'!E35)*(ABS('Test Patient'!E35-$E35)&lt;VisitHrs/24)+('Test Patient'!F35=$D35)*ISNUMBER('Test Patient'!G35)*(ABS('Test Patient'!G35-$E35)&lt;VisitHrs/24))-1)+('Anita Klesch'!$B35=$D35)*($E35&lt;DayEnd)*($E35+VisitHrs/24&gt;DayStart)+('Anita Klesch'!$C35=$D35)*((($E35+VisitHrs/24&gt;DayEnd)+($E35&lt;DayStart))&gt;0)+('Test Patient 2'!$B35=$D35)*($E35&lt;DayEnd)*($E35+VisitHrs/24&gt;DayStart)+('Test Patient 2'!$C35=$D35)*((($E35+VisitHrs/24&gt;DayEnd)+($E35&lt;DayStart))&gt;0)&gt;=1,1,0),0)</f>
        <v>0</v>
      </c>
      <c r="L35" s="12">
        <f>IF(AND($H35=1,$F35&lt;&gt;"",ISNUMBER($G35)),IF(((('Lucy Levene'!B35=$F35)*ISNUMBER('Lucy Levene'!C35)*(ABS('Lucy Levene'!C35-$G35)&lt;VisitHrs/24)+('Lucy Levene'!D35=$F35)*ISNUMBER('Lucy Levene'!E35)*(ABS('Lucy Levene'!E35-$G35)&lt;VisitHrs/24)+('Lucy Levene'!F35=$F35)*ISNUMBER('Lucy Levene'!G35)*(ABS('Lucy Levene'!G35-$G35)&lt;VisitHrs/24)+('Tom Bock'!B35=$F35)*ISNUMBER('Tom Bock'!C35)*(ABS('Tom Bock'!C35-$G35)&lt;VisitHrs/24)+('Tom Bock'!D35=$F35)*ISNUMBER('Tom Bock'!E35)*(ABS('Tom Bock'!E35-$G35)&lt;VisitHrs/24)+('Tom Bock'!F35=$F35)*ISNUMBER('Tom Bock'!G35)*(ABS('Tom Bock'!G35-$G35)&lt;VisitHrs/24)+(Jeremy!B35=$F35)*ISNUMBER(Jeremy!C35)*(ABS(Jeremy!C35-$G35)&lt;VisitHrs/24)+(Jeremy!D35=$F35)*ISNUMBER(Jeremy!E35)*(ABS(Jeremy!E35-$G35)&lt;VisitHrs/24)+(Jeremy!F35=$F35)*ISNUMBER(Jeremy!G35)*(ABS(Jeremy!G35-$G35)&lt;VisitHrs/24)+('Test Patient'!B35=$F35)*ISNUMBER('Test Patient'!C35)*(ABS('Test Patient'!C35-$G35)&lt;VisitHrs/24)+('Test Patient'!D35=$F35)*ISNUMBER('Test Patient'!E35)*(ABS('Test Patient'!E35-$G35)&lt;VisitHrs/24)+('Test Patient'!F35=$F35)*ISNUMBER('Test Patient'!G35)*(ABS('Test Patient'!G35-$G35)&lt;VisitHrs/24))-1)+('Anita Klesch'!$B35=$F35)*($G35&lt;DayEnd)*($G35+VisitHrs/24&gt;DayStart)+('Anita Klesch'!$C35=$F35)*((($G35+VisitHrs/24&gt;DayEnd)+($G35&lt;DayStart))&gt;0)+('Test Patient 2'!$B35=$F35)*($G35&lt;DayEnd)*($G35+VisitHrs/24&gt;DayStart)+('Test Patient 2'!$C35=$F35)*((($G35+VisitHrs/24&gt;DayEnd)+($G35&lt;DayStart))&gt;0)&gt;=1,1,0),0)</f>
        <v>0</v>
      </c>
      <c r="M35" s="12">
        <f t="shared" si="2"/>
        <v>0</v>
      </c>
      <c r="N35" s="12">
        <f t="shared" si="3"/>
        <v>0</v>
      </c>
      <c r="O35" s="12">
        <f t="shared" si="4"/>
        <v>0</v>
      </c>
    </row>
    <row r="36" spans="1:15" x14ac:dyDescent="0.2">
      <c r="A36" s="2">
        <f t="shared" si="5"/>
        <v>46242</v>
      </c>
      <c r="B36" s="19"/>
      <c r="C36" s="25"/>
      <c r="D36" s="19"/>
      <c r="E36" s="25"/>
      <c r="F36" s="19"/>
      <c r="G36" s="25"/>
      <c r="H36" s="12">
        <f t="shared" si="0"/>
        <v>1</v>
      </c>
      <c r="I36" s="12">
        <f t="shared" si="1"/>
        <v>0</v>
      </c>
      <c r="J36" s="12">
        <f>IF(AND($H36=1,$B36&lt;&gt;"",ISNUMBER($C36)),IF(((('Lucy Levene'!B36=$B36)*ISNUMBER('Lucy Levene'!C36)*(ABS('Lucy Levene'!C36-$C36)&lt;VisitHrs/24)+('Lucy Levene'!D36=$B36)*ISNUMBER('Lucy Levene'!E36)*(ABS('Lucy Levene'!E36-$C36)&lt;VisitHrs/24)+('Lucy Levene'!F36=$B36)*ISNUMBER('Lucy Levene'!G36)*(ABS('Lucy Levene'!G36-$C36)&lt;VisitHrs/24)+('Tom Bock'!B36=$B36)*ISNUMBER('Tom Bock'!C36)*(ABS('Tom Bock'!C36-$C36)&lt;VisitHrs/24)+('Tom Bock'!D36=$B36)*ISNUMBER('Tom Bock'!E36)*(ABS('Tom Bock'!E36-$C36)&lt;VisitHrs/24)+('Tom Bock'!F36=$B36)*ISNUMBER('Tom Bock'!G36)*(ABS('Tom Bock'!G36-$C36)&lt;VisitHrs/24)+(Jeremy!B36=$B36)*ISNUMBER(Jeremy!C36)*(ABS(Jeremy!C36-$C36)&lt;VisitHrs/24)+(Jeremy!D36=$B36)*ISNUMBER(Jeremy!E36)*(ABS(Jeremy!E36-$C36)&lt;VisitHrs/24)+(Jeremy!F36=$B36)*ISNUMBER(Jeremy!G36)*(ABS(Jeremy!G36-$C36)&lt;VisitHrs/24)+('Test Patient'!B36=$B36)*ISNUMBER('Test Patient'!C36)*(ABS('Test Patient'!C36-$C36)&lt;VisitHrs/24)+('Test Patient'!D36=$B36)*ISNUMBER('Test Patient'!E36)*(ABS('Test Patient'!E36-$C36)&lt;VisitHrs/24)+('Test Patient'!F36=$B36)*ISNUMBER('Test Patient'!G36)*(ABS('Test Patient'!G36-$C36)&lt;VisitHrs/24))-1)+('Anita Klesch'!$B36=$B36)*($C36&lt;DayEnd)*($C36+VisitHrs/24&gt;DayStart)+('Anita Klesch'!$C36=$B36)*((($C36+VisitHrs/24&gt;DayEnd)+($C36&lt;DayStart))&gt;0)+('Test Patient 2'!$B36=$B36)*($C36&lt;DayEnd)*($C36+VisitHrs/24&gt;DayStart)+('Test Patient 2'!$C36=$B36)*((($C36+VisitHrs/24&gt;DayEnd)+($C36&lt;DayStart))&gt;0)&gt;=1,1,0),0)</f>
        <v>0</v>
      </c>
      <c r="K36" s="12">
        <f>IF(AND($H36=1,$D36&lt;&gt;"",ISNUMBER($E36)),IF(((('Lucy Levene'!B36=$D36)*ISNUMBER('Lucy Levene'!C36)*(ABS('Lucy Levene'!C36-$E36)&lt;VisitHrs/24)+('Lucy Levene'!D36=$D36)*ISNUMBER('Lucy Levene'!E36)*(ABS('Lucy Levene'!E36-$E36)&lt;VisitHrs/24)+('Lucy Levene'!F36=$D36)*ISNUMBER('Lucy Levene'!G36)*(ABS('Lucy Levene'!G36-$E36)&lt;VisitHrs/24)+('Tom Bock'!B36=$D36)*ISNUMBER('Tom Bock'!C36)*(ABS('Tom Bock'!C36-$E36)&lt;VisitHrs/24)+('Tom Bock'!D36=$D36)*ISNUMBER('Tom Bock'!E36)*(ABS('Tom Bock'!E36-$E36)&lt;VisitHrs/24)+('Tom Bock'!F36=$D36)*ISNUMBER('Tom Bock'!G36)*(ABS('Tom Bock'!G36-$E36)&lt;VisitHrs/24)+(Jeremy!B36=$D36)*ISNUMBER(Jeremy!C36)*(ABS(Jeremy!C36-$E36)&lt;VisitHrs/24)+(Jeremy!D36=$D36)*ISNUMBER(Jeremy!E36)*(ABS(Jeremy!E36-$E36)&lt;VisitHrs/24)+(Jeremy!F36=$D36)*ISNUMBER(Jeremy!G36)*(ABS(Jeremy!G36-$E36)&lt;VisitHrs/24)+('Test Patient'!B36=$D36)*ISNUMBER('Test Patient'!C36)*(ABS('Test Patient'!C36-$E36)&lt;VisitHrs/24)+('Test Patient'!D36=$D36)*ISNUMBER('Test Patient'!E36)*(ABS('Test Patient'!E36-$E36)&lt;VisitHrs/24)+('Test Patient'!F36=$D36)*ISNUMBER('Test Patient'!G36)*(ABS('Test Patient'!G36-$E36)&lt;VisitHrs/24))-1)+('Anita Klesch'!$B36=$D36)*($E36&lt;DayEnd)*($E36+VisitHrs/24&gt;DayStart)+('Anita Klesch'!$C36=$D36)*((($E36+VisitHrs/24&gt;DayEnd)+($E36&lt;DayStart))&gt;0)+('Test Patient 2'!$B36=$D36)*($E36&lt;DayEnd)*($E36+VisitHrs/24&gt;DayStart)+('Test Patient 2'!$C36=$D36)*((($E36+VisitHrs/24&gt;DayEnd)+($E36&lt;DayStart))&gt;0)&gt;=1,1,0),0)</f>
        <v>0</v>
      </c>
      <c r="L36" s="12">
        <f>IF(AND($H36=1,$F36&lt;&gt;"",ISNUMBER($G36)),IF(((('Lucy Levene'!B36=$F36)*ISNUMBER('Lucy Levene'!C36)*(ABS('Lucy Levene'!C36-$G36)&lt;VisitHrs/24)+('Lucy Levene'!D36=$F36)*ISNUMBER('Lucy Levene'!E36)*(ABS('Lucy Levene'!E36-$G36)&lt;VisitHrs/24)+('Lucy Levene'!F36=$F36)*ISNUMBER('Lucy Levene'!G36)*(ABS('Lucy Levene'!G36-$G36)&lt;VisitHrs/24)+('Tom Bock'!B36=$F36)*ISNUMBER('Tom Bock'!C36)*(ABS('Tom Bock'!C36-$G36)&lt;VisitHrs/24)+('Tom Bock'!D36=$F36)*ISNUMBER('Tom Bock'!E36)*(ABS('Tom Bock'!E36-$G36)&lt;VisitHrs/24)+('Tom Bock'!F36=$F36)*ISNUMBER('Tom Bock'!G36)*(ABS('Tom Bock'!G36-$G36)&lt;VisitHrs/24)+(Jeremy!B36=$F36)*ISNUMBER(Jeremy!C36)*(ABS(Jeremy!C36-$G36)&lt;VisitHrs/24)+(Jeremy!D36=$F36)*ISNUMBER(Jeremy!E36)*(ABS(Jeremy!E36-$G36)&lt;VisitHrs/24)+(Jeremy!F36=$F36)*ISNUMBER(Jeremy!G36)*(ABS(Jeremy!G36-$G36)&lt;VisitHrs/24)+('Test Patient'!B36=$F36)*ISNUMBER('Test Patient'!C36)*(ABS('Test Patient'!C36-$G36)&lt;VisitHrs/24)+('Test Patient'!D36=$F36)*ISNUMBER('Test Patient'!E36)*(ABS('Test Patient'!E36-$G36)&lt;VisitHrs/24)+('Test Patient'!F36=$F36)*ISNUMBER('Test Patient'!G36)*(ABS('Test Patient'!G36-$G36)&lt;VisitHrs/24))-1)+('Anita Klesch'!$B36=$F36)*($G36&lt;DayEnd)*($G36+VisitHrs/24&gt;DayStart)+('Anita Klesch'!$C36=$F36)*((($G36+VisitHrs/24&gt;DayEnd)+($G36&lt;DayStart))&gt;0)+('Test Patient 2'!$B36=$F36)*($G36&lt;DayEnd)*($G36+VisitHrs/24&gt;DayStart)+('Test Patient 2'!$C36=$F36)*((($G36+VisitHrs/24&gt;DayEnd)+($G36&lt;DayStart))&gt;0)&gt;=1,1,0),0)</f>
        <v>0</v>
      </c>
      <c r="M36" s="12">
        <f t="shared" si="2"/>
        <v>0</v>
      </c>
      <c r="N36" s="12">
        <f t="shared" si="3"/>
        <v>0</v>
      </c>
      <c r="O36" s="12">
        <f t="shared" si="4"/>
        <v>0</v>
      </c>
    </row>
    <row r="37" spans="1:15" x14ac:dyDescent="0.2">
      <c r="A37" s="2">
        <f t="shared" si="5"/>
        <v>46243</v>
      </c>
      <c r="B37" s="19"/>
      <c r="C37" s="25"/>
      <c r="D37" s="19"/>
      <c r="E37" s="25"/>
      <c r="F37" s="19"/>
      <c r="G37" s="25"/>
      <c r="H37" s="12">
        <f t="shared" si="0"/>
        <v>1</v>
      </c>
      <c r="I37" s="12">
        <f t="shared" si="1"/>
        <v>0</v>
      </c>
      <c r="J37" s="12">
        <f>IF(AND($H37=1,$B37&lt;&gt;"",ISNUMBER($C37)),IF(((('Lucy Levene'!B37=$B37)*ISNUMBER('Lucy Levene'!C37)*(ABS('Lucy Levene'!C37-$C37)&lt;VisitHrs/24)+('Lucy Levene'!D37=$B37)*ISNUMBER('Lucy Levene'!E37)*(ABS('Lucy Levene'!E37-$C37)&lt;VisitHrs/24)+('Lucy Levene'!F37=$B37)*ISNUMBER('Lucy Levene'!G37)*(ABS('Lucy Levene'!G37-$C37)&lt;VisitHrs/24)+('Tom Bock'!B37=$B37)*ISNUMBER('Tom Bock'!C37)*(ABS('Tom Bock'!C37-$C37)&lt;VisitHrs/24)+('Tom Bock'!D37=$B37)*ISNUMBER('Tom Bock'!E37)*(ABS('Tom Bock'!E37-$C37)&lt;VisitHrs/24)+('Tom Bock'!F37=$B37)*ISNUMBER('Tom Bock'!G37)*(ABS('Tom Bock'!G37-$C37)&lt;VisitHrs/24)+(Jeremy!B37=$B37)*ISNUMBER(Jeremy!C37)*(ABS(Jeremy!C37-$C37)&lt;VisitHrs/24)+(Jeremy!D37=$B37)*ISNUMBER(Jeremy!E37)*(ABS(Jeremy!E37-$C37)&lt;VisitHrs/24)+(Jeremy!F37=$B37)*ISNUMBER(Jeremy!G37)*(ABS(Jeremy!G37-$C37)&lt;VisitHrs/24)+('Test Patient'!B37=$B37)*ISNUMBER('Test Patient'!C37)*(ABS('Test Patient'!C37-$C37)&lt;VisitHrs/24)+('Test Patient'!D37=$B37)*ISNUMBER('Test Patient'!E37)*(ABS('Test Patient'!E37-$C37)&lt;VisitHrs/24)+('Test Patient'!F37=$B37)*ISNUMBER('Test Patient'!G37)*(ABS('Test Patient'!G37-$C37)&lt;VisitHrs/24))-1)+('Anita Klesch'!$B37=$B37)*($C37&lt;DayEnd)*($C37+VisitHrs/24&gt;DayStart)+('Anita Klesch'!$C37=$B37)*((($C37+VisitHrs/24&gt;DayEnd)+($C37&lt;DayStart))&gt;0)+('Test Patient 2'!$B37=$B37)*($C37&lt;DayEnd)*($C37+VisitHrs/24&gt;DayStart)+('Test Patient 2'!$C37=$B37)*((($C37+VisitHrs/24&gt;DayEnd)+($C37&lt;DayStart))&gt;0)&gt;=1,1,0),0)</f>
        <v>0</v>
      </c>
      <c r="K37" s="12">
        <f>IF(AND($H37=1,$D37&lt;&gt;"",ISNUMBER($E37)),IF(((('Lucy Levene'!B37=$D37)*ISNUMBER('Lucy Levene'!C37)*(ABS('Lucy Levene'!C37-$E37)&lt;VisitHrs/24)+('Lucy Levene'!D37=$D37)*ISNUMBER('Lucy Levene'!E37)*(ABS('Lucy Levene'!E37-$E37)&lt;VisitHrs/24)+('Lucy Levene'!F37=$D37)*ISNUMBER('Lucy Levene'!G37)*(ABS('Lucy Levene'!G37-$E37)&lt;VisitHrs/24)+('Tom Bock'!B37=$D37)*ISNUMBER('Tom Bock'!C37)*(ABS('Tom Bock'!C37-$E37)&lt;VisitHrs/24)+('Tom Bock'!D37=$D37)*ISNUMBER('Tom Bock'!E37)*(ABS('Tom Bock'!E37-$E37)&lt;VisitHrs/24)+('Tom Bock'!F37=$D37)*ISNUMBER('Tom Bock'!G37)*(ABS('Tom Bock'!G37-$E37)&lt;VisitHrs/24)+(Jeremy!B37=$D37)*ISNUMBER(Jeremy!C37)*(ABS(Jeremy!C37-$E37)&lt;VisitHrs/24)+(Jeremy!D37=$D37)*ISNUMBER(Jeremy!E37)*(ABS(Jeremy!E37-$E37)&lt;VisitHrs/24)+(Jeremy!F37=$D37)*ISNUMBER(Jeremy!G37)*(ABS(Jeremy!G37-$E37)&lt;VisitHrs/24)+('Test Patient'!B37=$D37)*ISNUMBER('Test Patient'!C37)*(ABS('Test Patient'!C37-$E37)&lt;VisitHrs/24)+('Test Patient'!D37=$D37)*ISNUMBER('Test Patient'!E37)*(ABS('Test Patient'!E37-$E37)&lt;VisitHrs/24)+('Test Patient'!F37=$D37)*ISNUMBER('Test Patient'!G37)*(ABS('Test Patient'!G37-$E37)&lt;VisitHrs/24))-1)+('Anita Klesch'!$B37=$D37)*($E37&lt;DayEnd)*($E37+VisitHrs/24&gt;DayStart)+('Anita Klesch'!$C37=$D37)*((($E37+VisitHrs/24&gt;DayEnd)+($E37&lt;DayStart))&gt;0)+('Test Patient 2'!$B37=$D37)*($E37&lt;DayEnd)*($E37+VisitHrs/24&gt;DayStart)+('Test Patient 2'!$C37=$D37)*((($E37+VisitHrs/24&gt;DayEnd)+($E37&lt;DayStart))&gt;0)&gt;=1,1,0),0)</f>
        <v>0</v>
      </c>
      <c r="L37" s="12">
        <f>IF(AND($H37=1,$F37&lt;&gt;"",ISNUMBER($G37)),IF(((('Lucy Levene'!B37=$F37)*ISNUMBER('Lucy Levene'!C37)*(ABS('Lucy Levene'!C37-$G37)&lt;VisitHrs/24)+('Lucy Levene'!D37=$F37)*ISNUMBER('Lucy Levene'!E37)*(ABS('Lucy Levene'!E37-$G37)&lt;VisitHrs/24)+('Lucy Levene'!F37=$F37)*ISNUMBER('Lucy Levene'!G37)*(ABS('Lucy Levene'!G37-$G37)&lt;VisitHrs/24)+('Tom Bock'!B37=$F37)*ISNUMBER('Tom Bock'!C37)*(ABS('Tom Bock'!C37-$G37)&lt;VisitHrs/24)+('Tom Bock'!D37=$F37)*ISNUMBER('Tom Bock'!E37)*(ABS('Tom Bock'!E37-$G37)&lt;VisitHrs/24)+('Tom Bock'!F37=$F37)*ISNUMBER('Tom Bock'!G37)*(ABS('Tom Bock'!G37-$G37)&lt;VisitHrs/24)+(Jeremy!B37=$F37)*ISNUMBER(Jeremy!C37)*(ABS(Jeremy!C37-$G37)&lt;VisitHrs/24)+(Jeremy!D37=$F37)*ISNUMBER(Jeremy!E37)*(ABS(Jeremy!E37-$G37)&lt;VisitHrs/24)+(Jeremy!F37=$F37)*ISNUMBER(Jeremy!G37)*(ABS(Jeremy!G37-$G37)&lt;VisitHrs/24)+('Test Patient'!B37=$F37)*ISNUMBER('Test Patient'!C37)*(ABS('Test Patient'!C37-$G37)&lt;VisitHrs/24)+('Test Patient'!D37=$F37)*ISNUMBER('Test Patient'!E37)*(ABS('Test Patient'!E37-$G37)&lt;VisitHrs/24)+('Test Patient'!F37=$F37)*ISNUMBER('Test Patient'!G37)*(ABS('Test Patient'!G37-$G37)&lt;VisitHrs/24))-1)+('Anita Klesch'!$B37=$F37)*($G37&lt;DayEnd)*($G37+VisitHrs/24&gt;DayStart)+('Anita Klesch'!$C37=$F37)*((($G37+VisitHrs/24&gt;DayEnd)+($G37&lt;DayStart))&gt;0)+('Test Patient 2'!$B37=$F37)*($G37&lt;DayEnd)*($G37+VisitHrs/24&gt;DayStart)+('Test Patient 2'!$C37=$F37)*((($G37+VisitHrs/24&gt;DayEnd)+($G37&lt;DayStart))&gt;0)&gt;=1,1,0),0)</f>
        <v>0</v>
      </c>
      <c r="M37" s="12">
        <f t="shared" si="2"/>
        <v>0</v>
      </c>
      <c r="N37" s="12">
        <f t="shared" si="3"/>
        <v>0</v>
      </c>
      <c r="O37" s="12">
        <f t="shared" si="4"/>
        <v>0</v>
      </c>
    </row>
    <row r="38" spans="1:15" x14ac:dyDescent="0.2">
      <c r="A38" s="2">
        <f t="shared" si="5"/>
        <v>46244</v>
      </c>
      <c r="B38" s="19"/>
      <c r="C38" s="25"/>
      <c r="D38" s="19"/>
      <c r="E38" s="25"/>
      <c r="F38" s="19"/>
      <c r="G38" s="25"/>
      <c r="H38" s="12">
        <f t="shared" si="0"/>
        <v>1</v>
      </c>
      <c r="I38" s="12">
        <f t="shared" si="1"/>
        <v>0</v>
      </c>
      <c r="J38" s="12">
        <f>IF(AND($H38=1,$B38&lt;&gt;"",ISNUMBER($C38)),IF(((('Lucy Levene'!B38=$B38)*ISNUMBER('Lucy Levene'!C38)*(ABS('Lucy Levene'!C38-$C38)&lt;VisitHrs/24)+('Lucy Levene'!D38=$B38)*ISNUMBER('Lucy Levene'!E38)*(ABS('Lucy Levene'!E38-$C38)&lt;VisitHrs/24)+('Lucy Levene'!F38=$B38)*ISNUMBER('Lucy Levene'!G38)*(ABS('Lucy Levene'!G38-$C38)&lt;VisitHrs/24)+('Tom Bock'!B38=$B38)*ISNUMBER('Tom Bock'!C38)*(ABS('Tom Bock'!C38-$C38)&lt;VisitHrs/24)+('Tom Bock'!D38=$B38)*ISNUMBER('Tom Bock'!E38)*(ABS('Tom Bock'!E38-$C38)&lt;VisitHrs/24)+('Tom Bock'!F38=$B38)*ISNUMBER('Tom Bock'!G38)*(ABS('Tom Bock'!G38-$C38)&lt;VisitHrs/24)+(Jeremy!B38=$B38)*ISNUMBER(Jeremy!C38)*(ABS(Jeremy!C38-$C38)&lt;VisitHrs/24)+(Jeremy!D38=$B38)*ISNUMBER(Jeremy!E38)*(ABS(Jeremy!E38-$C38)&lt;VisitHrs/24)+(Jeremy!F38=$B38)*ISNUMBER(Jeremy!G38)*(ABS(Jeremy!G38-$C38)&lt;VisitHrs/24)+('Test Patient'!B38=$B38)*ISNUMBER('Test Patient'!C38)*(ABS('Test Patient'!C38-$C38)&lt;VisitHrs/24)+('Test Patient'!D38=$B38)*ISNUMBER('Test Patient'!E38)*(ABS('Test Patient'!E38-$C38)&lt;VisitHrs/24)+('Test Patient'!F38=$B38)*ISNUMBER('Test Patient'!G38)*(ABS('Test Patient'!G38-$C38)&lt;VisitHrs/24))-1)+('Anita Klesch'!$B38=$B38)*($C38&lt;DayEnd)*($C38+VisitHrs/24&gt;DayStart)+('Anita Klesch'!$C38=$B38)*((($C38+VisitHrs/24&gt;DayEnd)+($C38&lt;DayStart))&gt;0)+('Test Patient 2'!$B38=$B38)*($C38&lt;DayEnd)*($C38+VisitHrs/24&gt;DayStart)+('Test Patient 2'!$C38=$B38)*((($C38+VisitHrs/24&gt;DayEnd)+($C38&lt;DayStart))&gt;0)&gt;=1,1,0),0)</f>
        <v>0</v>
      </c>
      <c r="K38" s="12">
        <f>IF(AND($H38=1,$D38&lt;&gt;"",ISNUMBER($E38)),IF(((('Lucy Levene'!B38=$D38)*ISNUMBER('Lucy Levene'!C38)*(ABS('Lucy Levene'!C38-$E38)&lt;VisitHrs/24)+('Lucy Levene'!D38=$D38)*ISNUMBER('Lucy Levene'!E38)*(ABS('Lucy Levene'!E38-$E38)&lt;VisitHrs/24)+('Lucy Levene'!F38=$D38)*ISNUMBER('Lucy Levene'!G38)*(ABS('Lucy Levene'!G38-$E38)&lt;VisitHrs/24)+('Tom Bock'!B38=$D38)*ISNUMBER('Tom Bock'!C38)*(ABS('Tom Bock'!C38-$E38)&lt;VisitHrs/24)+('Tom Bock'!D38=$D38)*ISNUMBER('Tom Bock'!E38)*(ABS('Tom Bock'!E38-$E38)&lt;VisitHrs/24)+('Tom Bock'!F38=$D38)*ISNUMBER('Tom Bock'!G38)*(ABS('Tom Bock'!G38-$E38)&lt;VisitHrs/24)+(Jeremy!B38=$D38)*ISNUMBER(Jeremy!C38)*(ABS(Jeremy!C38-$E38)&lt;VisitHrs/24)+(Jeremy!D38=$D38)*ISNUMBER(Jeremy!E38)*(ABS(Jeremy!E38-$E38)&lt;VisitHrs/24)+(Jeremy!F38=$D38)*ISNUMBER(Jeremy!G38)*(ABS(Jeremy!G38-$E38)&lt;VisitHrs/24)+('Test Patient'!B38=$D38)*ISNUMBER('Test Patient'!C38)*(ABS('Test Patient'!C38-$E38)&lt;VisitHrs/24)+('Test Patient'!D38=$D38)*ISNUMBER('Test Patient'!E38)*(ABS('Test Patient'!E38-$E38)&lt;VisitHrs/24)+('Test Patient'!F38=$D38)*ISNUMBER('Test Patient'!G38)*(ABS('Test Patient'!G38-$E38)&lt;VisitHrs/24))-1)+('Anita Klesch'!$B38=$D38)*($E38&lt;DayEnd)*($E38+VisitHrs/24&gt;DayStart)+('Anita Klesch'!$C38=$D38)*((($E38+VisitHrs/24&gt;DayEnd)+($E38&lt;DayStart))&gt;0)+('Test Patient 2'!$B38=$D38)*($E38&lt;DayEnd)*($E38+VisitHrs/24&gt;DayStart)+('Test Patient 2'!$C38=$D38)*((($E38+VisitHrs/24&gt;DayEnd)+($E38&lt;DayStart))&gt;0)&gt;=1,1,0),0)</f>
        <v>0</v>
      </c>
      <c r="L38" s="12">
        <f>IF(AND($H38=1,$F38&lt;&gt;"",ISNUMBER($G38)),IF(((('Lucy Levene'!B38=$F38)*ISNUMBER('Lucy Levene'!C38)*(ABS('Lucy Levene'!C38-$G38)&lt;VisitHrs/24)+('Lucy Levene'!D38=$F38)*ISNUMBER('Lucy Levene'!E38)*(ABS('Lucy Levene'!E38-$G38)&lt;VisitHrs/24)+('Lucy Levene'!F38=$F38)*ISNUMBER('Lucy Levene'!G38)*(ABS('Lucy Levene'!G38-$G38)&lt;VisitHrs/24)+('Tom Bock'!B38=$F38)*ISNUMBER('Tom Bock'!C38)*(ABS('Tom Bock'!C38-$G38)&lt;VisitHrs/24)+('Tom Bock'!D38=$F38)*ISNUMBER('Tom Bock'!E38)*(ABS('Tom Bock'!E38-$G38)&lt;VisitHrs/24)+('Tom Bock'!F38=$F38)*ISNUMBER('Tom Bock'!G38)*(ABS('Tom Bock'!G38-$G38)&lt;VisitHrs/24)+(Jeremy!B38=$F38)*ISNUMBER(Jeremy!C38)*(ABS(Jeremy!C38-$G38)&lt;VisitHrs/24)+(Jeremy!D38=$F38)*ISNUMBER(Jeremy!E38)*(ABS(Jeremy!E38-$G38)&lt;VisitHrs/24)+(Jeremy!F38=$F38)*ISNUMBER(Jeremy!G38)*(ABS(Jeremy!G38-$G38)&lt;VisitHrs/24)+('Test Patient'!B38=$F38)*ISNUMBER('Test Patient'!C38)*(ABS('Test Patient'!C38-$G38)&lt;VisitHrs/24)+('Test Patient'!D38=$F38)*ISNUMBER('Test Patient'!E38)*(ABS('Test Patient'!E38-$G38)&lt;VisitHrs/24)+('Test Patient'!F38=$F38)*ISNUMBER('Test Patient'!G38)*(ABS('Test Patient'!G38-$G38)&lt;VisitHrs/24))-1)+('Anita Klesch'!$B38=$F38)*($G38&lt;DayEnd)*($G38+VisitHrs/24&gt;DayStart)+('Anita Klesch'!$C38=$F38)*((($G38+VisitHrs/24&gt;DayEnd)+($G38&lt;DayStart))&gt;0)+('Test Patient 2'!$B38=$F38)*($G38&lt;DayEnd)*($G38+VisitHrs/24&gt;DayStart)+('Test Patient 2'!$C38=$F38)*((($G38+VisitHrs/24&gt;DayEnd)+($G38&lt;DayStart))&gt;0)&gt;=1,1,0),0)</f>
        <v>0</v>
      </c>
      <c r="M38" s="12">
        <f t="shared" si="2"/>
        <v>0</v>
      </c>
      <c r="N38" s="12">
        <f t="shared" si="3"/>
        <v>0</v>
      </c>
      <c r="O38" s="12">
        <f t="shared" si="4"/>
        <v>0</v>
      </c>
    </row>
    <row r="39" spans="1:15" x14ac:dyDescent="0.2">
      <c r="A39" s="2">
        <f t="shared" si="5"/>
        <v>46245</v>
      </c>
      <c r="B39" s="19"/>
      <c r="C39" s="25"/>
      <c r="D39" s="19"/>
      <c r="E39" s="25"/>
      <c r="F39" s="19"/>
      <c r="G39" s="25"/>
      <c r="H39" s="12">
        <f t="shared" si="0"/>
        <v>1</v>
      </c>
      <c r="I39" s="12">
        <f t="shared" si="1"/>
        <v>0</v>
      </c>
      <c r="J39" s="12">
        <f>IF(AND($H39=1,$B39&lt;&gt;"",ISNUMBER($C39)),IF(((('Lucy Levene'!B39=$B39)*ISNUMBER('Lucy Levene'!C39)*(ABS('Lucy Levene'!C39-$C39)&lt;VisitHrs/24)+('Lucy Levene'!D39=$B39)*ISNUMBER('Lucy Levene'!E39)*(ABS('Lucy Levene'!E39-$C39)&lt;VisitHrs/24)+('Lucy Levene'!F39=$B39)*ISNUMBER('Lucy Levene'!G39)*(ABS('Lucy Levene'!G39-$C39)&lt;VisitHrs/24)+('Tom Bock'!B39=$B39)*ISNUMBER('Tom Bock'!C39)*(ABS('Tom Bock'!C39-$C39)&lt;VisitHrs/24)+('Tom Bock'!D39=$B39)*ISNUMBER('Tom Bock'!E39)*(ABS('Tom Bock'!E39-$C39)&lt;VisitHrs/24)+('Tom Bock'!F39=$B39)*ISNUMBER('Tom Bock'!G39)*(ABS('Tom Bock'!G39-$C39)&lt;VisitHrs/24)+(Jeremy!B39=$B39)*ISNUMBER(Jeremy!C39)*(ABS(Jeremy!C39-$C39)&lt;VisitHrs/24)+(Jeremy!D39=$B39)*ISNUMBER(Jeremy!E39)*(ABS(Jeremy!E39-$C39)&lt;VisitHrs/24)+(Jeremy!F39=$B39)*ISNUMBER(Jeremy!G39)*(ABS(Jeremy!G39-$C39)&lt;VisitHrs/24)+('Test Patient'!B39=$B39)*ISNUMBER('Test Patient'!C39)*(ABS('Test Patient'!C39-$C39)&lt;VisitHrs/24)+('Test Patient'!D39=$B39)*ISNUMBER('Test Patient'!E39)*(ABS('Test Patient'!E39-$C39)&lt;VisitHrs/24)+('Test Patient'!F39=$B39)*ISNUMBER('Test Patient'!G39)*(ABS('Test Patient'!G39-$C39)&lt;VisitHrs/24))-1)+('Anita Klesch'!$B39=$B39)*($C39&lt;DayEnd)*($C39+VisitHrs/24&gt;DayStart)+('Anita Klesch'!$C39=$B39)*((($C39+VisitHrs/24&gt;DayEnd)+($C39&lt;DayStart))&gt;0)+('Test Patient 2'!$B39=$B39)*($C39&lt;DayEnd)*($C39+VisitHrs/24&gt;DayStart)+('Test Patient 2'!$C39=$B39)*((($C39+VisitHrs/24&gt;DayEnd)+($C39&lt;DayStart))&gt;0)&gt;=1,1,0),0)</f>
        <v>0</v>
      </c>
      <c r="K39" s="12">
        <f>IF(AND($H39=1,$D39&lt;&gt;"",ISNUMBER($E39)),IF(((('Lucy Levene'!B39=$D39)*ISNUMBER('Lucy Levene'!C39)*(ABS('Lucy Levene'!C39-$E39)&lt;VisitHrs/24)+('Lucy Levene'!D39=$D39)*ISNUMBER('Lucy Levene'!E39)*(ABS('Lucy Levene'!E39-$E39)&lt;VisitHrs/24)+('Lucy Levene'!F39=$D39)*ISNUMBER('Lucy Levene'!G39)*(ABS('Lucy Levene'!G39-$E39)&lt;VisitHrs/24)+('Tom Bock'!B39=$D39)*ISNUMBER('Tom Bock'!C39)*(ABS('Tom Bock'!C39-$E39)&lt;VisitHrs/24)+('Tom Bock'!D39=$D39)*ISNUMBER('Tom Bock'!E39)*(ABS('Tom Bock'!E39-$E39)&lt;VisitHrs/24)+('Tom Bock'!F39=$D39)*ISNUMBER('Tom Bock'!G39)*(ABS('Tom Bock'!G39-$E39)&lt;VisitHrs/24)+(Jeremy!B39=$D39)*ISNUMBER(Jeremy!C39)*(ABS(Jeremy!C39-$E39)&lt;VisitHrs/24)+(Jeremy!D39=$D39)*ISNUMBER(Jeremy!E39)*(ABS(Jeremy!E39-$E39)&lt;VisitHrs/24)+(Jeremy!F39=$D39)*ISNUMBER(Jeremy!G39)*(ABS(Jeremy!G39-$E39)&lt;VisitHrs/24)+('Test Patient'!B39=$D39)*ISNUMBER('Test Patient'!C39)*(ABS('Test Patient'!C39-$E39)&lt;VisitHrs/24)+('Test Patient'!D39=$D39)*ISNUMBER('Test Patient'!E39)*(ABS('Test Patient'!E39-$E39)&lt;VisitHrs/24)+('Test Patient'!F39=$D39)*ISNUMBER('Test Patient'!G39)*(ABS('Test Patient'!G39-$E39)&lt;VisitHrs/24))-1)+('Anita Klesch'!$B39=$D39)*($E39&lt;DayEnd)*($E39+VisitHrs/24&gt;DayStart)+('Anita Klesch'!$C39=$D39)*((($E39+VisitHrs/24&gt;DayEnd)+($E39&lt;DayStart))&gt;0)+('Test Patient 2'!$B39=$D39)*($E39&lt;DayEnd)*($E39+VisitHrs/24&gt;DayStart)+('Test Patient 2'!$C39=$D39)*((($E39+VisitHrs/24&gt;DayEnd)+($E39&lt;DayStart))&gt;0)&gt;=1,1,0),0)</f>
        <v>0</v>
      </c>
      <c r="L39" s="12">
        <f>IF(AND($H39=1,$F39&lt;&gt;"",ISNUMBER($G39)),IF(((('Lucy Levene'!B39=$F39)*ISNUMBER('Lucy Levene'!C39)*(ABS('Lucy Levene'!C39-$G39)&lt;VisitHrs/24)+('Lucy Levene'!D39=$F39)*ISNUMBER('Lucy Levene'!E39)*(ABS('Lucy Levene'!E39-$G39)&lt;VisitHrs/24)+('Lucy Levene'!F39=$F39)*ISNUMBER('Lucy Levene'!G39)*(ABS('Lucy Levene'!G39-$G39)&lt;VisitHrs/24)+('Tom Bock'!B39=$F39)*ISNUMBER('Tom Bock'!C39)*(ABS('Tom Bock'!C39-$G39)&lt;VisitHrs/24)+('Tom Bock'!D39=$F39)*ISNUMBER('Tom Bock'!E39)*(ABS('Tom Bock'!E39-$G39)&lt;VisitHrs/24)+('Tom Bock'!F39=$F39)*ISNUMBER('Tom Bock'!G39)*(ABS('Tom Bock'!G39-$G39)&lt;VisitHrs/24)+(Jeremy!B39=$F39)*ISNUMBER(Jeremy!C39)*(ABS(Jeremy!C39-$G39)&lt;VisitHrs/24)+(Jeremy!D39=$F39)*ISNUMBER(Jeremy!E39)*(ABS(Jeremy!E39-$G39)&lt;VisitHrs/24)+(Jeremy!F39=$F39)*ISNUMBER(Jeremy!G39)*(ABS(Jeremy!G39-$G39)&lt;VisitHrs/24)+('Test Patient'!B39=$F39)*ISNUMBER('Test Patient'!C39)*(ABS('Test Patient'!C39-$G39)&lt;VisitHrs/24)+('Test Patient'!D39=$F39)*ISNUMBER('Test Patient'!E39)*(ABS('Test Patient'!E39-$G39)&lt;VisitHrs/24)+('Test Patient'!F39=$F39)*ISNUMBER('Test Patient'!G39)*(ABS('Test Patient'!G39-$G39)&lt;VisitHrs/24))-1)+('Anita Klesch'!$B39=$F39)*($G39&lt;DayEnd)*($G39+VisitHrs/24&gt;DayStart)+('Anita Klesch'!$C39=$F39)*((($G39+VisitHrs/24&gt;DayEnd)+($G39&lt;DayStart))&gt;0)+('Test Patient 2'!$B39=$F39)*($G39&lt;DayEnd)*($G39+VisitHrs/24&gt;DayStart)+('Test Patient 2'!$C39=$F39)*((($G39+VisitHrs/24&gt;DayEnd)+($G39&lt;DayStart))&gt;0)&gt;=1,1,0),0)</f>
        <v>0</v>
      </c>
      <c r="M39" s="12">
        <f t="shared" si="2"/>
        <v>0</v>
      </c>
      <c r="N39" s="12">
        <f t="shared" si="3"/>
        <v>0</v>
      </c>
      <c r="O39" s="12">
        <f t="shared" si="4"/>
        <v>0</v>
      </c>
    </row>
    <row r="40" spans="1:15" x14ac:dyDescent="0.2">
      <c r="A40" s="2">
        <f t="shared" si="5"/>
        <v>46246</v>
      </c>
      <c r="B40" s="19"/>
      <c r="C40" s="25"/>
      <c r="D40" s="19"/>
      <c r="E40" s="25"/>
      <c r="F40" s="19"/>
      <c r="G40" s="25"/>
      <c r="H40" s="12">
        <f t="shared" si="0"/>
        <v>1</v>
      </c>
      <c r="I40" s="12">
        <f t="shared" si="1"/>
        <v>0</v>
      </c>
      <c r="J40" s="12">
        <f>IF(AND($H40=1,$B40&lt;&gt;"",ISNUMBER($C40)),IF(((('Lucy Levene'!B40=$B40)*ISNUMBER('Lucy Levene'!C40)*(ABS('Lucy Levene'!C40-$C40)&lt;VisitHrs/24)+('Lucy Levene'!D40=$B40)*ISNUMBER('Lucy Levene'!E40)*(ABS('Lucy Levene'!E40-$C40)&lt;VisitHrs/24)+('Lucy Levene'!F40=$B40)*ISNUMBER('Lucy Levene'!G40)*(ABS('Lucy Levene'!G40-$C40)&lt;VisitHrs/24)+('Tom Bock'!B40=$B40)*ISNUMBER('Tom Bock'!C40)*(ABS('Tom Bock'!C40-$C40)&lt;VisitHrs/24)+('Tom Bock'!D40=$B40)*ISNUMBER('Tom Bock'!E40)*(ABS('Tom Bock'!E40-$C40)&lt;VisitHrs/24)+('Tom Bock'!F40=$B40)*ISNUMBER('Tom Bock'!G40)*(ABS('Tom Bock'!G40-$C40)&lt;VisitHrs/24)+(Jeremy!B40=$B40)*ISNUMBER(Jeremy!C40)*(ABS(Jeremy!C40-$C40)&lt;VisitHrs/24)+(Jeremy!D40=$B40)*ISNUMBER(Jeremy!E40)*(ABS(Jeremy!E40-$C40)&lt;VisitHrs/24)+(Jeremy!F40=$B40)*ISNUMBER(Jeremy!G40)*(ABS(Jeremy!G40-$C40)&lt;VisitHrs/24)+('Test Patient'!B40=$B40)*ISNUMBER('Test Patient'!C40)*(ABS('Test Patient'!C40-$C40)&lt;VisitHrs/24)+('Test Patient'!D40=$B40)*ISNUMBER('Test Patient'!E40)*(ABS('Test Patient'!E40-$C40)&lt;VisitHrs/24)+('Test Patient'!F40=$B40)*ISNUMBER('Test Patient'!G40)*(ABS('Test Patient'!G40-$C40)&lt;VisitHrs/24))-1)+('Anita Klesch'!$B40=$B40)*($C40&lt;DayEnd)*($C40+VisitHrs/24&gt;DayStart)+('Anita Klesch'!$C40=$B40)*((($C40+VisitHrs/24&gt;DayEnd)+($C40&lt;DayStart))&gt;0)+('Test Patient 2'!$B40=$B40)*($C40&lt;DayEnd)*($C40+VisitHrs/24&gt;DayStart)+('Test Patient 2'!$C40=$B40)*((($C40+VisitHrs/24&gt;DayEnd)+($C40&lt;DayStart))&gt;0)&gt;=1,1,0),0)</f>
        <v>0</v>
      </c>
      <c r="K40" s="12">
        <f>IF(AND($H40=1,$D40&lt;&gt;"",ISNUMBER($E40)),IF(((('Lucy Levene'!B40=$D40)*ISNUMBER('Lucy Levene'!C40)*(ABS('Lucy Levene'!C40-$E40)&lt;VisitHrs/24)+('Lucy Levene'!D40=$D40)*ISNUMBER('Lucy Levene'!E40)*(ABS('Lucy Levene'!E40-$E40)&lt;VisitHrs/24)+('Lucy Levene'!F40=$D40)*ISNUMBER('Lucy Levene'!G40)*(ABS('Lucy Levene'!G40-$E40)&lt;VisitHrs/24)+('Tom Bock'!B40=$D40)*ISNUMBER('Tom Bock'!C40)*(ABS('Tom Bock'!C40-$E40)&lt;VisitHrs/24)+('Tom Bock'!D40=$D40)*ISNUMBER('Tom Bock'!E40)*(ABS('Tom Bock'!E40-$E40)&lt;VisitHrs/24)+('Tom Bock'!F40=$D40)*ISNUMBER('Tom Bock'!G40)*(ABS('Tom Bock'!G40-$E40)&lt;VisitHrs/24)+(Jeremy!B40=$D40)*ISNUMBER(Jeremy!C40)*(ABS(Jeremy!C40-$E40)&lt;VisitHrs/24)+(Jeremy!D40=$D40)*ISNUMBER(Jeremy!E40)*(ABS(Jeremy!E40-$E40)&lt;VisitHrs/24)+(Jeremy!F40=$D40)*ISNUMBER(Jeremy!G40)*(ABS(Jeremy!G40-$E40)&lt;VisitHrs/24)+('Test Patient'!B40=$D40)*ISNUMBER('Test Patient'!C40)*(ABS('Test Patient'!C40-$E40)&lt;VisitHrs/24)+('Test Patient'!D40=$D40)*ISNUMBER('Test Patient'!E40)*(ABS('Test Patient'!E40-$E40)&lt;VisitHrs/24)+('Test Patient'!F40=$D40)*ISNUMBER('Test Patient'!G40)*(ABS('Test Patient'!G40-$E40)&lt;VisitHrs/24))-1)+('Anita Klesch'!$B40=$D40)*($E40&lt;DayEnd)*($E40+VisitHrs/24&gt;DayStart)+('Anita Klesch'!$C40=$D40)*((($E40+VisitHrs/24&gt;DayEnd)+($E40&lt;DayStart))&gt;0)+('Test Patient 2'!$B40=$D40)*($E40&lt;DayEnd)*($E40+VisitHrs/24&gt;DayStart)+('Test Patient 2'!$C40=$D40)*((($E40+VisitHrs/24&gt;DayEnd)+($E40&lt;DayStart))&gt;0)&gt;=1,1,0),0)</f>
        <v>0</v>
      </c>
      <c r="L40" s="12">
        <f>IF(AND($H40=1,$F40&lt;&gt;"",ISNUMBER($G40)),IF(((('Lucy Levene'!B40=$F40)*ISNUMBER('Lucy Levene'!C40)*(ABS('Lucy Levene'!C40-$G40)&lt;VisitHrs/24)+('Lucy Levene'!D40=$F40)*ISNUMBER('Lucy Levene'!E40)*(ABS('Lucy Levene'!E40-$G40)&lt;VisitHrs/24)+('Lucy Levene'!F40=$F40)*ISNUMBER('Lucy Levene'!G40)*(ABS('Lucy Levene'!G40-$G40)&lt;VisitHrs/24)+('Tom Bock'!B40=$F40)*ISNUMBER('Tom Bock'!C40)*(ABS('Tom Bock'!C40-$G40)&lt;VisitHrs/24)+('Tom Bock'!D40=$F40)*ISNUMBER('Tom Bock'!E40)*(ABS('Tom Bock'!E40-$G40)&lt;VisitHrs/24)+('Tom Bock'!F40=$F40)*ISNUMBER('Tom Bock'!G40)*(ABS('Tom Bock'!G40-$G40)&lt;VisitHrs/24)+(Jeremy!B40=$F40)*ISNUMBER(Jeremy!C40)*(ABS(Jeremy!C40-$G40)&lt;VisitHrs/24)+(Jeremy!D40=$F40)*ISNUMBER(Jeremy!E40)*(ABS(Jeremy!E40-$G40)&lt;VisitHrs/24)+(Jeremy!F40=$F40)*ISNUMBER(Jeremy!G40)*(ABS(Jeremy!G40-$G40)&lt;VisitHrs/24)+('Test Patient'!B40=$F40)*ISNUMBER('Test Patient'!C40)*(ABS('Test Patient'!C40-$G40)&lt;VisitHrs/24)+('Test Patient'!D40=$F40)*ISNUMBER('Test Patient'!E40)*(ABS('Test Patient'!E40-$G40)&lt;VisitHrs/24)+('Test Patient'!F40=$F40)*ISNUMBER('Test Patient'!G40)*(ABS('Test Patient'!G40-$G40)&lt;VisitHrs/24))-1)+('Anita Klesch'!$B40=$F40)*($G40&lt;DayEnd)*($G40+VisitHrs/24&gt;DayStart)+('Anita Klesch'!$C40=$F40)*((($G40+VisitHrs/24&gt;DayEnd)+($G40&lt;DayStart))&gt;0)+('Test Patient 2'!$B40=$F40)*($G40&lt;DayEnd)*($G40+VisitHrs/24&gt;DayStart)+('Test Patient 2'!$C40=$F40)*((($G40+VisitHrs/24&gt;DayEnd)+($G40&lt;DayStart))&gt;0)&gt;=1,1,0),0)</f>
        <v>0</v>
      </c>
      <c r="M40" s="12">
        <f t="shared" si="2"/>
        <v>0</v>
      </c>
      <c r="N40" s="12">
        <f t="shared" si="3"/>
        <v>0</v>
      </c>
      <c r="O40" s="12">
        <f t="shared" si="4"/>
        <v>0</v>
      </c>
    </row>
    <row r="41" spans="1:15" x14ac:dyDescent="0.2">
      <c r="A41" s="2">
        <f t="shared" si="5"/>
        <v>46247</v>
      </c>
      <c r="B41" s="19"/>
      <c r="C41" s="25"/>
      <c r="D41" s="19"/>
      <c r="E41" s="25"/>
      <c r="F41" s="19"/>
      <c r="G41" s="25"/>
      <c r="H41" s="12">
        <f t="shared" si="0"/>
        <v>1</v>
      </c>
      <c r="I41" s="12">
        <f t="shared" si="1"/>
        <v>0</v>
      </c>
      <c r="J41" s="12">
        <f>IF(AND($H41=1,$B41&lt;&gt;"",ISNUMBER($C41)),IF(((('Lucy Levene'!B41=$B41)*ISNUMBER('Lucy Levene'!C41)*(ABS('Lucy Levene'!C41-$C41)&lt;VisitHrs/24)+('Lucy Levene'!D41=$B41)*ISNUMBER('Lucy Levene'!E41)*(ABS('Lucy Levene'!E41-$C41)&lt;VisitHrs/24)+('Lucy Levene'!F41=$B41)*ISNUMBER('Lucy Levene'!G41)*(ABS('Lucy Levene'!G41-$C41)&lt;VisitHrs/24)+('Tom Bock'!B41=$B41)*ISNUMBER('Tom Bock'!C41)*(ABS('Tom Bock'!C41-$C41)&lt;VisitHrs/24)+('Tom Bock'!D41=$B41)*ISNUMBER('Tom Bock'!E41)*(ABS('Tom Bock'!E41-$C41)&lt;VisitHrs/24)+('Tom Bock'!F41=$B41)*ISNUMBER('Tom Bock'!G41)*(ABS('Tom Bock'!G41-$C41)&lt;VisitHrs/24)+(Jeremy!B41=$B41)*ISNUMBER(Jeremy!C41)*(ABS(Jeremy!C41-$C41)&lt;VisitHrs/24)+(Jeremy!D41=$B41)*ISNUMBER(Jeremy!E41)*(ABS(Jeremy!E41-$C41)&lt;VisitHrs/24)+(Jeremy!F41=$B41)*ISNUMBER(Jeremy!G41)*(ABS(Jeremy!G41-$C41)&lt;VisitHrs/24)+('Test Patient'!B41=$B41)*ISNUMBER('Test Patient'!C41)*(ABS('Test Patient'!C41-$C41)&lt;VisitHrs/24)+('Test Patient'!D41=$B41)*ISNUMBER('Test Patient'!E41)*(ABS('Test Patient'!E41-$C41)&lt;VisitHrs/24)+('Test Patient'!F41=$B41)*ISNUMBER('Test Patient'!G41)*(ABS('Test Patient'!G41-$C41)&lt;VisitHrs/24))-1)+('Anita Klesch'!$B41=$B41)*($C41&lt;DayEnd)*($C41+VisitHrs/24&gt;DayStart)+('Anita Klesch'!$C41=$B41)*((($C41+VisitHrs/24&gt;DayEnd)+($C41&lt;DayStart))&gt;0)+('Test Patient 2'!$B41=$B41)*($C41&lt;DayEnd)*($C41+VisitHrs/24&gt;DayStart)+('Test Patient 2'!$C41=$B41)*((($C41+VisitHrs/24&gt;DayEnd)+($C41&lt;DayStart))&gt;0)&gt;=1,1,0),0)</f>
        <v>0</v>
      </c>
      <c r="K41" s="12">
        <f>IF(AND($H41=1,$D41&lt;&gt;"",ISNUMBER($E41)),IF(((('Lucy Levene'!B41=$D41)*ISNUMBER('Lucy Levene'!C41)*(ABS('Lucy Levene'!C41-$E41)&lt;VisitHrs/24)+('Lucy Levene'!D41=$D41)*ISNUMBER('Lucy Levene'!E41)*(ABS('Lucy Levene'!E41-$E41)&lt;VisitHrs/24)+('Lucy Levene'!F41=$D41)*ISNUMBER('Lucy Levene'!G41)*(ABS('Lucy Levene'!G41-$E41)&lt;VisitHrs/24)+('Tom Bock'!B41=$D41)*ISNUMBER('Tom Bock'!C41)*(ABS('Tom Bock'!C41-$E41)&lt;VisitHrs/24)+('Tom Bock'!D41=$D41)*ISNUMBER('Tom Bock'!E41)*(ABS('Tom Bock'!E41-$E41)&lt;VisitHrs/24)+('Tom Bock'!F41=$D41)*ISNUMBER('Tom Bock'!G41)*(ABS('Tom Bock'!G41-$E41)&lt;VisitHrs/24)+(Jeremy!B41=$D41)*ISNUMBER(Jeremy!C41)*(ABS(Jeremy!C41-$E41)&lt;VisitHrs/24)+(Jeremy!D41=$D41)*ISNUMBER(Jeremy!E41)*(ABS(Jeremy!E41-$E41)&lt;VisitHrs/24)+(Jeremy!F41=$D41)*ISNUMBER(Jeremy!G41)*(ABS(Jeremy!G41-$E41)&lt;VisitHrs/24)+('Test Patient'!B41=$D41)*ISNUMBER('Test Patient'!C41)*(ABS('Test Patient'!C41-$E41)&lt;VisitHrs/24)+('Test Patient'!D41=$D41)*ISNUMBER('Test Patient'!E41)*(ABS('Test Patient'!E41-$E41)&lt;VisitHrs/24)+('Test Patient'!F41=$D41)*ISNUMBER('Test Patient'!G41)*(ABS('Test Patient'!G41-$E41)&lt;VisitHrs/24))-1)+('Anita Klesch'!$B41=$D41)*($E41&lt;DayEnd)*($E41+VisitHrs/24&gt;DayStart)+('Anita Klesch'!$C41=$D41)*((($E41+VisitHrs/24&gt;DayEnd)+($E41&lt;DayStart))&gt;0)+('Test Patient 2'!$B41=$D41)*($E41&lt;DayEnd)*($E41+VisitHrs/24&gt;DayStart)+('Test Patient 2'!$C41=$D41)*((($E41+VisitHrs/24&gt;DayEnd)+($E41&lt;DayStart))&gt;0)&gt;=1,1,0),0)</f>
        <v>0</v>
      </c>
      <c r="L41" s="12">
        <f>IF(AND($H41=1,$F41&lt;&gt;"",ISNUMBER($G41)),IF(((('Lucy Levene'!B41=$F41)*ISNUMBER('Lucy Levene'!C41)*(ABS('Lucy Levene'!C41-$G41)&lt;VisitHrs/24)+('Lucy Levene'!D41=$F41)*ISNUMBER('Lucy Levene'!E41)*(ABS('Lucy Levene'!E41-$G41)&lt;VisitHrs/24)+('Lucy Levene'!F41=$F41)*ISNUMBER('Lucy Levene'!G41)*(ABS('Lucy Levene'!G41-$G41)&lt;VisitHrs/24)+('Tom Bock'!B41=$F41)*ISNUMBER('Tom Bock'!C41)*(ABS('Tom Bock'!C41-$G41)&lt;VisitHrs/24)+('Tom Bock'!D41=$F41)*ISNUMBER('Tom Bock'!E41)*(ABS('Tom Bock'!E41-$G41)&lt;VisitHrs/24)+('Tom Bock'!F41=$F41)*ISNUMBER('Tom Bock'!G41)*(ABS('Tom Bock'!G41-$G41)&lt;VisitHrs/24)+(Jeremy!B41=$F41)*ISNUMBER(Jeremy!C41)*(ABS(Jeremy!C41-$G41)&lt;VisitHrs/24)+(Jeremy!D41=$F41)*ISNUMBER(Jeremy!E41)*(ABS(Jeremy!E41-$G41)&lt;VisitHrs/24)+(Jeremy!F41=$F41)*ISNUMBER(Jeremy!G41)*(ABS(Jeremy!G41-$G41)&lt;VisitHrs/24)+('Test Patient'!B41=$F41)*ISNUMBER('Test Patient'!C41)*(ABS('Test Patient'!C41-$G41)&lt;VisitHrs/24)+('Test Patient'!D41=$F41)*ISNUMBER('Test Patient'!E41)*(ABS('Test Patient'!E41-$G41)&lt;VisitHrs/24)+('Test Patient'!F41=$F41)*ISNUMBER('Test Patient'!G41)*(ABS('Test Patient'!G41-$G41)&lt;VisitHrs/24))-1)+('Anita Klesch'!$B41=$F41)*($G41&lt;DayEnd)*($G41+VisitHrs/24&gt;DayStart)+('Anita Klesch'!$C41=$F41)*((($G41+VisitHrs/24&gt;DayEnd)+($G41&lt;DayStart))&gt;0)+('Test Patient 2'!$B41=$F41)*($G41&lt;DayEnd)*($G41+VisitHrs/24&gt;DayStart)+('Test Patient 2'!$C41=$F41)*((($G41+VisitHrs/24&gt;DayEnd)+($G41&lt;DayStart))&gt;0)&gt;=1,1,0),0)</f>
        <v>0</v>
      </c>
      <c r="M41" s="12">
        <f t="shared" si="2"/>
        <v>0</v>
      </c>
      <c r="N41" s="12">
        <f t="shared" si="3"/>
        <v>0</v>
      </c>
      <c r="O41" s="12">
        <f t="shared" si="4"/>
        <v>0</v>
      </c>
    </row>
    <row r="42" spans="1:15" x14ac:dyDescent="0.2">
      <c r="A42" s="2">
        <f t="shared" si="5"/>
        <v>46248</v>
      </c>
      <c r="B42" s="19"/>
      <c r="C42" s="25"/>
      <c r="D42" s="19"/>
      <c r="E42" s="25"/>
      <c r="F42" s="19"/>
      <c r="G42" s="25"/>
      <c r="H42" s="12">
        <f t="shared" si="0"/>
        <v>1</v>
      </c>
      <c r="I42" s="12">
        <f t="shared" si="1"/>
        <v>0</v>
      </c>
      <c r="J42" s="12">
        <f>IF(AND($H42=1,$B42&lt;&gt;"",ISNUMBER($C42)),IF(((('Lucy Levene'!B42=$B42)*ISNUMBER('Lucy Levene'!C42)*(ABS('Lucy Levene'!C42-$C42)&lt;VisitHrs/24)+('Lucy Levene'!D42=$B42)*ISNUMBER('Lucy Levene'!E42)*(ABS('Lucy Levene'!E42-$C42)&lt;VisitHrs/24)+('Lucy Levene'!F42=$B42)*ISNUMBER('Lucy Levene'!G42)*(ABS('Lucy Levene'!G42-$C42)&lt;VisitHrs/24)+('Tom Bock'!B42=$B42)*ISNUMBER('Tom Bock'!C42)*(ABS('Tom Bock'!C42-$C42)&lt;VisitHrs/24)+('Tom Bock'!D42=$B42)*ISNUMBER('Tom Bock'!E42)*(ABS('Tom Bock'!E42-$C42)&lt;VisitHrs/24)+('Tom Bock'!F42=$B42)*ISNUMBER('Tom Bock'!G42)*(ABS('Tom Bock'!G42-$C42)&lt;VisitHrs/24)+(Jeremy!B42=$B42)*ISNUMBER(Jeremy!C42)*(ABS(Jeremy!C42-$C42)&lt;VisitHrs/24)+(Jeremy!D42=$B42)*ISNUMBER(Jeremy!E42)*(ABS(Jeremy!E42-$C42)&lt;VisitHrs/24)+(Jeremy!F42=$B42)*ISNUMBER(Jeremy!G42)*(ABS(Jeremy!G42-$C42)&lt;VisitHrs/24)+('Test Patient'!B42=$B42)*ISNUMBER('Test Patient'!C42)*(ABS('Test Patient'!C42-$C42)&lt;VisitHrs/24)+('Test Patient'!D42=$B42)*ISNUMBER('Test Patient'!E42)*(ABS('Test Patient'!E42-$C42)&lt;VisitHrs/24)+('Test Patient'!F42=$B42)*ISNUMBER('Test Patient'!G42)*(ABS('Test Patient'!G42-$C42)&lt;VisitHrs/24))-1)+('Anita Klesch'!$B42=$B42)*($C42&lt;DayEnd)*($C42+VisitHrs/24&gt;DayStart)+('Anita Klesch'!$C42=$B42)*((($C42+VisitHrs/24&gt;DayEnd)+($C42&lt;DayStart))&gt;0)+('Test Patient 2'!$B42=$B42)*($C42&lt;DayEnd)*($C42+VisitHrs/24&gt;DayStart)+('Test Patient 2'!$C42=$B42)*((($C42+VisitHrs/24&gt;DayEnd)+($C42&lt;DayStart))&gt;0)&gt;=1,1,0),0)</f>
        <v>0</v>
      </c>
      <c r="K42" s="12">
        <f>IF(AND($H42=1,$D42&lt;&gt;"",ISNUMBER($E42)),IF(((('Lucy Levene'!B42=$D42)*ISNUMBER('Lucy Levene'!C42)*(ABS('Lucy Levene'!C42-$E42)&lt;VisitHrs/24)+('Lucy Levene'!D42=$D42)*ISNUMBER('Lucy Levene'!E42)*(ABS('Lucy Levene'!E42-$E42)&lt;VisitHrs/24)+('Lucy Levene'!F42=$D42)*ISNUMBER('Lucy Levene'!G42)*(ABS('Lucy Levene'!G42-$E42)&lt;VisitHrs/24)+('Tom Bock'!B42=$D42)*ISNUMBER('Tom Bock'!C42)*(ABS('Tom Bock'!C42-$E42)&lt;VisitHrs/24)+('Tom Bock'!D42=$D42)*ISNUMBER('Tom Bock'!E42)*(ABS('Tom Bock'!E42-$E42)&lt;VisitHrs/24)+('Tom Bock'!F42=$D42)*ISNUMBER('Tom Bock'!G42)*(ABS('Tom Bock'!G42-$E42)&lt;VisitHrs/24)+(Jeremy!B42=$D42)*ISNUMBER(Jeremy!C42)*(ABS(Jeremy!C42-$E42)&lt;VisitHrs/24)+(Jeremy!D42=$D42)*ISNUMBER(Jeremy!E42)*(ABS(Jeremy!E42-$E42)&lt;VisitHrs/24)+(Jeremy!F42=$D42)*ISNUMBER(Jeremy!G42)*(ABS(Jeremy!G42-$E42)&lt;VisitHrs/24)+('Test Patient'!B42=$D42)*ISNUMBER('Test Patient'!C42)*(ABS('Test Patient'!C42-$E42)&lt;VisitHrs/24)+('Test Patient'!D42=$D42)*ISNUMBER('Test Patient'!E42)*(ABS('Test Patient'!E42-$E42)&lt;VisitHrs/24)+('Test Patient'!F42=$D42)*ISNUMBER('Test Patient'!G42)*(ABS('Test Patient'!G42-$E42)&lt;VisitHrs/24))-1)+('Anita Klesch'!$B42=$D42)*($E42&lt;DayEnd)*($E42+VisitHrs/24&gt;DayStart)+('Anita Klesch'!$C42=$D42)*((($E42+VisitHrs/24&gt;DayEnd)+($E42&lt;DayStart))&gt;0)+('Test Patient 2'!$B42=$D42)*($E42&lt;DayEnd)*($E42+VisitHrs/24&gt;DayStart)+('Test Patient 2'!$C42=$D42)*((($E42+VisitHrs/24&gt;DayEnd)+($E42&lt;DayStart))&gt;0)&gt;=1,1,0),0)</f>
        <v>0</v>
      </c>
      <c r="L42" s="12">
        <f>IF(AND($H42=1,$F42&lt;&gt;"",ISNUMBER($G42)),IF(((('Lucy Levene'!B42=$F42)*ISNUMBER('Lucy Levene'!C42)*(ABS('Lucy Levene'!C42-$G42)&lt;VisitHrs/24)+('Lucy Levene'!D42=$F42)*ISNUMBER('Lucy Levene'!E42)*(ABS('Lucy Levene'!E42-$G42)&lt;VisitHrs/24)+('Lucy Levene'!F42=$F42)*ISNUMBER('Lucy Levene'!G42)*(ABS('Lucy Levene'!G42-$G42)&lt;VisitHrs/24)+('Tom Bock'!B42=$F42)*ISNUMBER('Tom Bock'!C42)*(ABS('Tom Bock'!C42-$G42)&lt;VisitHrs/24)+('Tom Bock'!D42=$F42)*ISNUMBER('Tom Bock'!E42)*(ABS('Tom Bock'!E42-$G42)&lt;VisitHrs/24)+('Tom Bock'!F42=$F42)*ISNUMBER('Tom Bock'!G42)*(ABS('Tom Bock'!G42-$G42)&lt;VisitHrs/24)+(Jeremy!B42=$F42)*ISNUMBER(Jeremy!C42)*(ABS(Jeremy!C42-$G42)&lt;VisitHrs/24)+(Jeremy!D42=$F42)*ISNUMBER(Jeremy!E42)*(ABS(Jeremy!E42-$G42)&lt;VisitHrs/24)+(Jeremy!F42=$F42)*ISNUMBER(Jeremy!G42)*(ABS(Jeremy!G42-$G42)&lt;VisitHrs/24)+('Test Patient'!B42=$F42)*ISNUMBER('Test Patient'!C42)*(ABS('Test Patient'!C42-$G42)&lt;VisitHrs/24)+('Test Patient'!D42=$F42)*ISNUMBER('Test Patient'!E42)*(ABS('Test Patient'!E42-$G42)&lt;VisitHrs/24)+('Test Patient'!F42=$F42)*ISNUMBER('Test Patient'!G42)*(ABS('Test Patient'!G42-$G42)&lt;VisitHrs/24))-1)+('Anita Klesch'!$B42=$F42)*($G42&lt;DayEnd)*($G42+VisitHrs/24&gt;DayStart)+('Anita Klesch'!$C42=$F42)*((($G42+VisitHrs/24&gt;DayEnd)+($G42&lt;DayStart))&gt;0)+('Test Patient 2'!$B42=$F42)*($G42&lt;DayEnd)*($G42+VisitHrs/24&gt;DayStart)+('Test Patient 2'!$C42=$F42)*((($G42+VisitHrs/24&gt;DayEnd)+($G42&lt;DayStart))&gt;0)&gt;=1,1,0),0)</f>
        <v>0</v>
      </c>
      <c r="M42" s="12">
        <f t="shared" si="2"/>
        <v>0</v>
      </c>
      <c r="N42" s="12">
        <f t="shared" si="3"/>
        <v>0</v>
      </c>
      <c r="O42" s="12">
        <f t="shared" si="4"/>
        <v>0</v>
      </c>
    </row>
  </sheetData>
  <mergeCells count="2">
    <mergeCell ref="A1:G1"/>
    <mergeCell ref="A2:G2"/>
  </mergeCells>
  <conditionalFormatting sqref="A5:A42">
    <cfRule type="expression" dxfId="7" priority="8">
      <formula>WEEKDAY($A5,2)&gt;5</formula>
    </cfRule>
  </conditionalFormatting>
  <conditionalFormatting sqref="A5:G42">
    <cfRule type="expression" dxfId="6" priority="1" stopIfTrue="1">
      <formula>$H5=0</formula>
    </cfRule>
  </conditionalFormatting>
  <conditionalFormatting sqref="B5:B42">
    <cfRule type="expression" dxfId="5" priority="2">
      <formula>$J5=1</formula>
    </cfRule>
  </conditionalFormatting>
  <conditionalFormatting sqref="C5:C42">
    <cfRule type="expression" dxfId="4" priority="5">
      <formula>AND($H5=1,$B5&lt;&gt;"",$C5="")</formula>
    </cfRule>
  </conditionalFormatting>
  <conditionalFormatting sqref="D5:D42">
    <cfRule type="expression" dxfId="3" priority="3">
      <formula>$K5=1</formula>
    </cfRule>
  </conditionalFormatting>
  <conditionalFormatting sqref="E5:E42">
    <cfRule type="expression" dxfId="2" priority="6">
      <formula>AND($H5=1,$D5&lt;&gt;"",$E5="")</formula>
    </cfRule>
  </conditionalFormatting>
  <conditionalFormatting sqref="F5:F42">
    <cfRule type="expression" dxfId="1" priority="4">
      <formula>$L5=1</formula>
    </cfRule>
  </conditionalFormatting>
  <conditionalFormatting sqref="G5:G42">
    <cfRule type="expression" dxfId="0" priority="7">
      <formula>AND($H5=1,$F5&lt;&gt;"",$G5="")</formula>
    </cfRule>
  </conditionalFormatting>
  <dataValidations count="2">
    <dataValidation type="list" allowBlank="1" showInputMessage="1" showErrorMessage="1" sqref="B5:B42 D5:D42 F5:F42" xr:uid="{EDBBC7A3-EC58-4AE7-8FF6-DA9CB49583E5}">
      <formula1>StaffList</formula1>
    </dataValidation>
    <dataValidation type="list" errorStyle="information" allowBlank="1" showInputMessage="1" showErrorMessage="1" errorTitle="Custom time" error="Pick a listed time or type an exact time." sqref="C5:C42 G5:G42 E5:E42" xr:uid="{B3F89B35-6F39-4E33-BF62-134D4085E744}">
      <formula1>TimeList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/>
</file>

<file path=customXml/itemProps1.xml><?xml version="1.0" encoding="utf-8"?>
<ds:datastoreItem xmlns:ds="http://schemas.openxmlformats.org/officeDocument/2006/customXml" ds:itemID="{929CB31F-A3B4-4DAF-A19C-82222168E2B9}">
  <ds:schemaRefs>
    <ds:schemaRef ds:uri="http://schemas.microsoft.com/office/extensibility/maker/v1.0"/>
  </ds:schemaRefs>
</ds:datastoreItem>
</file>

<file path=docMetadata/LabelInfo.xml><?xml version="1.0" encoding="utf-8"?>
<clbl:labelList xmlns:clbl="http://schemas.microsoft.com/office/2020/mipLabelMetadata">
  <clbl:label id="{9cfee145-5ed6-4c9a-aa8e-0d0365a27984}" enabled="0" method="" siteId="{9cfee145-5ed6-4c9a-aa8e-0d0365a2798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19</vt:i4>
      </vt:variant>
    </vt:vector>
  </HeadingPairs>
  <TitlesOfParts>
    <vt:vector size="27" baseType="lpstr">
      <vt:lpstr>Patient Rota</vt:lpstr>
      <vt:lpstr>Dashboard</vt:lpstr>
      <vt:lpstr>Lucy Levene</vt:lpstr>
      <vt:lpstr>Anita Klesch</vt:lpstr>
      <vt:lpstr>Tom Bock</vt:lpstr>
      <vt:lpstr>Jeremy</vt:lpstr>
      <vt:lpstr>Test Patient 2</vt:lpstr>
      <vt:lpstr>Test Patient</vt:lpstr>
      <vt:lpstr>AK_End</vt:lpstr>
      <vt:lpstr>AK_Start</vt:lpstr>
      <vt:lpstr>DayEnd</vt:lpstr>
      <vt:lpstr>DayHrs</vt:lpstr>
      <vt:lpstr>DayStart</vt:lpstr>
      <vt:lpstr>JM_End</vt:lpstr>
      <vt:lpstr>JM_Start</vt:lpstr>
      <vt:lpstr>LL_End</vt:lpstr>
      <vt:lpstr>LL_Start</vt:lpstr>
      <vt:lpstr>NightHrs</vt:lpstr>
      <vt:lpstr>StaffList</vt:lpstr>
      <vt:lpstr>TB_End</vt:lpstr>
      <vt:lpstr>TB_Start</vt:lpstr>
      <vt:lpstr>TimeList</vt:lpstr>
      <vt:lpstr>TP_End</vt:lpstr>
      <vt:lpstr>TP_Start</vt:lpstr>
      <vt:lpstr>TP2_End</vt:lpstr>
      <vt:lpstr>TP2_Start</vt:lpstr>
      <vt:lpstr>VisitHrs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Hemmen Jutla</cp:lastModifiedBy>
  <cp:revision/>
  <dcterms:created xsi:type="dcterms:W3CDTF">2026-07-08T16:01:18Z</dcterms:created>
  <dcterms:modified xsi:type="dcterms:W3CDTF">2026-07-21T18:55:10Z</dcterms:modified>
  <cp:category/>
  <cp:contentStatus/>
</cp:coreProperties>
</file>